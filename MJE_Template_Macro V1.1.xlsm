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502648871\Desktop\Excel_Learning\"/>
    </mc:Choice>
  </mc:AlternateContent>
  <bookViews>
    <workbookView xWindow="0" yWindow="0" windowWidth="20490" windowHeight="7530" tabRatio="778" activeTab="1"/>
  </bookViews>
  <sheets>
    <sheet name="Instructions" sheetId="13" r:id="rId1"/>
    <sheet name="Data Sheet" sheetId="1" r:id="rId2"/>
    <sheet name="Ref_Tab" sheetId="9" r:id="rId3"/>
    <sheet name="Balance Identification" sheetId="14" r:id="rId4"/>
  </sheets>
  <definedNames>
    <definedName name="_xlnm._FilterDatabase" localSheetId="1" hidden="1">'Data Sheet'!#REF!</definedName>
    <definedName name="_xlnm._FilterDatabase" localSheetId="2" hidden="1">Ref_Tab!$D$1:$F$555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1" l="1"/>
  <c r="M4" i="1" s="1"/>
  <c r="M3" i="1"/>
  <c r="H12" i="1"/>
  <c r="G12" i="1"/>
  <c r="F12" i="1"/>
  <c r="E12" i="1"/>
  <c r="H11" i="1"/>
  <c r="G11" i="1"/>
  <c r="F11" i="1"/>
  <c r="E11" i="1"/>
  <c r="H10" i="1"/>
  <c r="G10" i="1"/>
  <c r="F10" i="1"/>
  <c r="E10" i="1"/>
  <c r="H9" i="1"/>
  <c r="G9" i="1"/>
  <c r="F9" i="1"/>
  <c r="E9" i="1"/>
  <c r="H8" i="1"/>
  <c r="G8" i="1"/>
  <c r="F8" i="1"/>
  <c r="E8" i="1"/>
  <c r="H7" i="1"/>
  <c r="G7" i="1"/>
  <c r="F7" i="1"/>
  <c r="E7" i="1"/>
  <c r="H6" i="1"/>
  <c r="G6" i="1"/>
  <c r="F6" i="1"/>
  <c r="E6" i="1"/>
  <c r="H5" i="1"/>
  <c r="G5" i="1"/>
  <c r="F5" i="1"/>
  <c r="E5" i="1"/>
  <c r="H4" i="1"/>
  <c r="G4" i="1"/>
  <c r="F4" i="1"/>
  <c r="E4" i="1"/>
  <c r="H3" i="1"/>
  <c r="G3" i="1"/>
  <c r="F3" i="1"/>
  <c r="E3" i="1"/>
  <c r="E13" i="1" l="1"/>
  <c r="E14" i="1"/>
  <c r="E15" i="1"/>
  <c r="E16" i="1"/>
  <c r="H14" i="1" l="1"/>
  <c r="G14" i="1"/>
  <c r="F14" i="1"/>
  <c r="H13" i="1"/>
  <c r="G13" i="1"/>
  <c r="F13" i="1"/>
  <c r="H20" i="1" l="1"/>
  <c r="G20" i="1"/>
  <c r="F20" i="1"/>
  <c r="E20" i="1"/>
  <c r="H19" i="1"/>
  <c r="G19" i="1"/>
  <c r="F19" i="1"/>
  <c r="E19" i="1"/>
  <c r="H18" i="1"/>
  <c r="G18" i="1"/>
  <c r="F18" i="1"/>
  <c r="E18" i="1"/>
  <c r="H17" i="1"/>
  <c r="G17" i="1"/>
  <c r="F17" i="1"/>
  <c r="E17" i="1"/>
  <c r="H16" i="1"/>
  <c r="G16" i="1"/>
  <c r="F16" i="1"/>
  <c r="H15" i="1"/>
  <c r="G15" i="1"/>
  <c r="F15" i="1"/>
  <c r="H24" i="1" l="1"/>
  <c r="G24" i="1"/>
  <c r="F24" i="1"/>
  <c r="E24" i="1"/>
  <c r="H23" i="1"/>
  <c r="G23" i="1"/>
  <c r="F23" i="1"/>
  <c r="E23" i="1"/>
  <c r="H22" i="1"/>
  <c r="G22" i="1"/>
  <c r="F22" i="1"/>
  <c r="E22" i="1"/>
  <c r="H21" i="1"/>
  <c r="G21" i="1"/>
  <c r="F21" i="1"/>
  <c r="E21" i="1"/>
  <c r="AF10" i="1" l="1"/>
  <c r="AF8" i="1"/>
  <c r="AF9" i="1"/>
  <c r="AF7" i="1"/>
  <c r="H28" i="1" l="1"/>
  <c r="G28" i="1"/>
  <c r="F28" i="1"/>
  <c r="E28" i="1"/>
  <c r="H27" i="1"/>
  <c r="G27" i="1"/>
  <c r="F27" i="1"/>
  <c r="E27" i="1"/>
  <c r="H26" i="1"/>
  <c r="G26" i="1"/>
  <c r="F26" i="1"/>
  <c r="E26" i="1"/>
  <c r="H25" i="1"/>
  <c r="G25" i="1"/>
  <c r="F25" i="1"/>
  <c r="E25" i="1"/>
  <c r="F29" i="1" l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G606" i="1"/>
  <c r="H606" i="1"/>
  <c r="G607" i="1"/>
  <c r="H607" i="1"/>
  <c r="G608" i="1"/>
  <c r="H608" i="1"/>
  <c r="G609" i="1"/>
  <c r="H609" i="1"/>
  <c r="G610" i="1"/>
  <c r="H610" i="1"/>
  <c r="G611" i="1"/>
  <c r="H611" i="1"/>
  <c r="G612" i="1"/>
  <c r="H612" i="1"/>
  <c r="G613" i="1"/>
  <c r="H613" i="1"/>
  <c r="G614" i="1"/>
  <c r="H614" i="1"/>
  <c r="G615" i="1"/>
  <c r="H615" i="1"/>
  <c r="G616" i="1"/>
  <c r="H616" i="1"/>
  <c r="G617" i="1"/>
  <c r="H617" i="1"/>
  <c r="G618" i="1"/>
  <c r="H618" i="1"/>
  <c r="G619" i="1"/>
  <c r="H619" i="1"/>
  <c r="G620" i="1"/>
  <c r="H620" i="1"/>
  <c r="G621" i="1"/>
  <c r="H621" i="1"/>
  <c r="G622" i="1"/>
  <c r="H622" i="1"/>
  <c r="G623" i="1"/>
  <c r="H623" i="1"/>
  <c r="G624" i="1"/>
  <c r="H624" i="1"/>
  <c r="G625" i="1"/>
  <c r="H625" i="1"/>
  <c r="G626" i="1"/>
  <c r="H626" i="1"/>
  <c r="G627" i="1"/>
  <c r="H627" i="1"/>
  <c r="G628" i="1"/>
  <c r="H628" i="1"/>
  <c r="G629" i="1"/>
  <c r="H629" i="1"/>
  <c r="G630" i="1"/>
  <c r="H630" i="1"/>
  <c r="G631" i="1"/>
  <c r="H631" i="1"/>
  <c r="G632" i="1"/>
  <c r="H632" i="1"/>
  <c r="G633" i="1"/>
  <c r="H633" i="1"/>
  <c r="G634" i="1"/>
  <c r="H634" i="1"/>
  <c r="G635" i="1"/>
  <c r="H635" i="1"/>
  <c r="G636" i="1"/>
  <c r="H636" i="1"/>
  <c r="G637" i="1"/>
  <c r="H637" i="1"/>
  <c r="G638" i="1"/>
  <c r="H638" i="1"/>
  <c r="G639" i="1"/>
  <c r="H639" i="1"/>
  <c r="G640" i="1"/>
  <c r="H640" i="1"/>
  <c r="G641" i="1"/>
  <c r="H641" i="1"/>
  <c r="G642" i="1"/>
  <c r="H642" i="1"/>
  <c r="G643" i="1"/>
  <c r="H643" i="1"/>
  <c r="G644" i="1"/>
  <c r="H644" i="1"/>
  <c r="G645" i="1"/>
  <c r="H645" i="1"/>
  <c r="G646" i="1"/>
  <c r="H646" i="1"/>
  <c r="G647" i="1"/>
  <c r="H647" i="1"/>
  <c r="G648" i="1"/>
  <c r="H648" i="1"/>
  <c r="G649" i="1"/>
  <c r="H649" i="1"/>
  <c r="G650" i="1"/>
  <c r="H650" i="1"/>
  <c r="G651" i="1"/>
  <c r="H651" i="1"/>
  <c r="G652" i="1"/>
  <c r="H652" i="1"/>
  <c r="G653" i="1"/>
  <c r="H653" i="1"/>
  <c r="G654" i="1"/>
  <c r="H654" i="1"/>
  <c r="G655" i="1"/>
  <c r="H655" i="1"/>
  <c r="G656" i="1"/>
  <c r="H656" i="1"/>
  <c r="G657" i="1"/>
  <c r="H657" i="1"/>
  <c r="G658" i="1"/>
  <c r="H658" i="1"/>
  <c r="G659" i="1"/>
  <c r="H659" i="1"/>
  <c r="G660" i="1"/>
  <c r="H660" i="1"/>
  <c r="G661" i="1"/>
  <c r="H661" i="1"/>
  <c r="G662" i="1"/>
  <c r="H662" i="1"/>
  <c r="G663" i="1"/>
  <c r="H663" i="1"/>
  <c r="G664" i="1"/>
  <c r="H664" i="1"/>
  <c r="G665" i="1"/>
  <c r="H665" i="1"/>
  <c r="G666" i="1"/>
  <c r="H666" i="1"/>
  <c r="G667" i="1"/>
  <c r="H667" i="1"/>
  <c r="G668" i="1"/>
  <c r="H668" i="1"/>
  <c r="G669" i="1"/>
  <c r="H669" i="1"/>
  <c r="G670" i="1"/>
  <c r="H670" i="1"/>
  <c r="G671" i="1"/>
  <c r="H671" i="1"/>
  <c r="G672" i="1"/>
  <c r="H672" i="1"/>
  <c r="G673" i="1"/>
  <c r="H673" i="1"/>
  <c r="G674" i="1"/>
  <c r="H674" i="1"/>
  <c r="G675" i="1"/>
  <c r="H675" i="1"/>
  <c r="G676" i="1"/>
  <c r="H676" i="1"/>
  <c r="G677" i="1"/>
  <c r="H677" i="1"/>
  <c r="G678" i="1"/>
  <c r="H678" i="1"/>
  <c r="G679" i="1"/>
  <c r="H679" i="1"/>
  <c r="G680" i="1"/>
  <c r="H680" i="1"/>
  <c r="G681" i="1"/>
  <c r="H681" i="1"/>
  <c r="G682" i="1"/>
  <c r="H682" i="1"/>
  <c r="G683" i="1"/>
  <c r="H683" i="1"/>
  <c r="G684" i="1"/>
  <c r="H684" i="1"/>
  <c r="G685" i="1"/>
  <c r="H685" i="1"/>
  <c r="G686" i="1"/>
  <c r="H686" i="1"/>
  <c r="G687" i="1"/>
  <c r="H687" i="1"/>
  <c r="G688" i="1"/>
  <c r="H688" i="1"/>
  <c r="G689" i="1"/>
  <c r="H689" i="1"/>
  <c r="G690" i="1"/>
  <c r="H690" i="1"/>
  <c r="G691" i="1"/>
  <c r="H691" i="1"/>
  <c r="G692" i="1"/>
  <c r="H692" i="1"/>
  <c r="G693" i="1"/>
  <c r="H693" i="1"/>
  <c r="G694" i="1"/>
  <c r="H694" i="1"/>
  <c r="G695" i="1"/>
  <c r="H695" i="1"/>
  <c r="G696" i="1"/>
  <c r="H696" i="1"/>
  <c r="G697" i="1"/>
  <c r="H697" i="1"/>
  <c r="G698" i="1"/>
  <c r="H698" i="1"/>
  <c r="G699" i="1"/>
  <c r="H699" i="1"/>
  <c r="G700" i="1"/>
  <c r="H700" i="1"/>
  <c r="G701" i="1"/>
  <c r="H701" i="1"/>
  <c r="G702" i="1"/>
  <c r="H702" i="1"/>
  <c r="G703" i="1"/>
  <c r="H703" i="1"/>
  <c r="G704" i="1"/>
  <c r="H704" i="1"/>
  <c r="G705" i="1"/>
  <c r="H705" i="1"/>
  <c r="G706" i="1"/>
  <c r="H706" i="1"/>
  <c r="G707" i="1"/>
  <c r="H707" i="1"/>
  <c r="G708" i="1"/>
  <c r="H708" i="1"/>
  <c r="G709" i="1"/>
  <c r="H709" i="1"/>
  <c r="G710" i="1"/>
  <c r="H710" i="1"/>
  <c r="G711" i="1"/>
  <c r="H711" i="1"/>
  <c r="G712" i="1"/>
  <c r="H712" i="1"/>
  <c r="G713" i="1"/>
  <c r="H713" i="1"/>
  <c r="G714" i="1"/>
  <c r="H714" i="1"/>
  <c r="G715" i="1"/>
  <c r="H715" i="1"/>
  <c r="G716" i="1"/>
  <c r="H716" i="1"/>
  <c r="G717" i="1"/>
  <c r="H717" i="1"/>
  <c r="G718" i="1"/>
  <c r="H718" i="1"/>
  <c r="G719" i="1"/>
  <c r="H719" i="1"/>
  <c r="G720" i="1"/>
  <c r="H720" i="1"/>
  <c r="G721" i="1"/>
  <c r="H721" i="1"/>
  <c r="G722" i="1"/>
  <c r="H722" i="1"/>
  <c r="G723" i="1"/>
  <c r="H723" i="1"/>
  <c r="G724" i="1"/>
  <c r="H724" i="1"/>
  <c r="G725" i="1"/>
  <c r="H725" i="1"/>
  <c r="G726" i="1"/>
  <c r="H726" i="1"/>
  <c r="G727" i="1"/>
  <c r="H727" i="1"/>
  <c r="G728" i="1"/>
  <c r="H728" i="1"/>
  <c r="G729" i="1"/>
  <c r="H729" i="1"/>
  <c r="G730" i="1"/>
  <c r="H730" i="1"/>
  <c r="G731" i="1"/>
  <c r="H731" i="1"/>
  <c r="G732" i="1"/>
  <c r="H732" i="1"/>
  <c r="G733" i="1"/>
  <c r="H733" i="1"/>
  <c r="G734" i="1"/>
  <c r="H734" i="1"/>
  <c r="G735" i="1"/>
  <c r="H735" i="1"/>
  <c r="G736" i="1"/>
  <c r="H736" i="1"/>
  <c r="G737" i="1"/>
  <c r="H737" i="1"/>
  <c r="G738" i="1"/>
  <c r="H738" i="1"/>
  <c r="G739" i="1"/>
  <c r="H739" i="1"/>
  <c r="G740" i="1"/>
  <c r="H740" i="1"/>
  <c r="G741" i="1"/>
  <c r="H741" i="1"/>
  <c r="G742" i="1"/>
  <c r="H742" i="1"/>
  <c r="G743" i="1"/>
  <c r="H743" i="1"/>
  <c r="G744" i="1"/>
  <c r="H744" i="1"/>
  <c r="G745" i="1"/>
  <c r="H745" i="1"/>
  <c r="G746" i="1"/>
  <c r="H746" i="1"/>
  <c r="G747" i="1"/>
  <c r="H747" i="1"/>
  <c r="G748" i="1"/>
  <c r="H748" i="1"/>
  <c r="G749" i="1"/>
  <c r="H749" i="1"/>
  <c r="G750" i="1"/>
  <c r="H750" i="1"/>
  <c r="G751" i="1"/>
  <c r="H751" i="1"/>
  <c r="G752" i="1"/>
  <c r="H752" i="1"/>
  <c r="G753" i="1"/>
  <c r="H753" i="1"/>
  <c r="G754" i="1"/>
  <c r="H754" i="1"/>
  <c r="G755" i="1"/>
  <c r="H755" i="1"/>
  <c r="G756" i="1"/>
  <c r="H756" i="1"/>
  <c r="G757" i="1"/>
  <c r="H757" i="1"/>
  <c r="G758" i="1"/>
  <c r="H758" i="1"/>
  <c r="G759" i="1"/>
  <c r="H759" i="1"/>
  <c r="G760" i="1"/>
  <c r="H760" i="1"/>
  <c r="G761" i="1"/>
  <c r="H761" i="1"/>
  <c r="G762" i="1"/>
  <c r="H762" i="1"/>
  <c r="G763" i="1"/>
  <c r="H763" i="1"/>
  <c r="G764" i="1"/>
  <c r="H764" i="1"/>
  <c r="G765" i="1"/>
  <c r="H765" i="1"/>
  <c r="G766" i="1"/>
  <c r="H766" i="1"/>
  <c r="G767" i="1"/>
  <c r="H767" i="1"/>
  <c r="G768" i="1"/>
  <c r="H768" i="1"/>
  <c r="G769" i="1"/>
  <c r="H769" i="1"/>
  <c r="G770" i="1"/>
  <c r="H770" i="1"/>
  <c r="G771" i="1"/>
  <c r="H771" i="1"/>
  <c r="G772" i="1"/>
  <c r="H772" i="1"/>
  <c r="G773" i="1"/>
  <c r="H773" i="1"/>
  <c r="G774" i="1"/>
  <c r="H774" i="1"/>
  <c r="G775" i="1"/>
  <c r="H775" i="1"/>
  <c r="G776" i="1"/>
  <c r="H776" i="1"/>
  <c r="G777" i="1"/>
  <c r="H777" i="1"/>
  <c r="G778" i="1"/>
  <c r="H778" i="1"/>
  <c r="G779" i="1"/>
  <c r="H779" i="1"/>
  <c r="G780" i="1"/>
  <c r="H780" i="1"/>
  <c r="G781" i="1"/>
  <c r="H781" i="1"/>
  <c r="G782" i="1"/>
  <c r="H782" i="1"/>
  <c r="G783" i="1"/>
  <c r="H783" i="1"/>
  <c r="G784" i="1"/>
  <c r="H784" i="1"/>
  <c r="G785" i="1"/>
  <c r="H785" i="1"/>
  <c r="G786" i="1"/>
  <c r="H786" i="1"/>
  <c r="G787" i="1"/>
  <c r="H787" i="1"/>
  <c r="G788" i="1"/>
  <c r="H788" i="1"/>
  <c r="G789" i="1"/>
  <c r="H789" i="1"/>
  <c r="G790" i="1"/>
  <c r="H790" i="1"/>
  <c r="G791" i="1"/>
  <c r="H791" i="1"/>
  <c r="G792" i="1"/>
  <c r="H792" i="1"/>
  <c r="G793" i="1"/>
  <c r="H793" i="1"/>
  <c r="G794" i="1"/>
  <c r="H794" i="1"/>
  <c r="G795" i="1"/>
  <c r="H795" i="1"/>
  <c r="G796" i="1"/>
  <c r="H796" i="1"/>
  <c r="G797" i="1"/>
  <c r="H797" i="1"/>
  <c r="G798" i="1"/>
  <c r="H798" i="1"/>
  <c r="G799" i="1"/>
  <c r="H799" i="1"/>
  <c r="G800" i="1"/>
  <c r="H800" i="1"/>
  <c r="G801" i="1"/>
  <c r="H801" i="1"/>
  <c r="G802" i="1"/>
  <c r="H802" i="1"/>
  <c r="G803" i="1"/>
  <c r="H803" i="1"/>
  <c r="G804" i="1"/>
  <c r="H804" i="1"/>
  <c r="G805" i="1"/>
  <c r="H805" i="1"/>
  <c r="G806" i="1"/>
  <c r="H806" i="1"/>
  <c r="G807" i="1"/>
  <c r="H807" i="1"/>
  <c r="G808" i="1"/>
  <c r="H808" i="1"/>
  <c r="G809" i="1"/>
  <c r="H809" i="1"/>
  <c r="G810" i="1"/>
  <c r="H810" i="1"/>
  <c r="G811" i="1"/>
  <c r="H811" i="1"/>
  <c r="G812" i="1"/>
  <c r="H812" i="1"/>
  <c r="G813" i="1"/>
  <c r="H813" i="1"/>
  <c r="G814" i="1"/>
  <c r="H814" i="1"/>
  <c r="G815" i="1"/>
  <c r="H815" i="1"/>
  <c r="G816" i="1"/>
  <c r="H816" i="1"/>
  <c r="G817" i="1"/>
  <c r="H817" i="1"/>
  <c r="G818" i="1"/>
  <c r="H818" i="1"/>
  <c r="G819" i="1"/>
  <c r="H819" i="1"/>
  <c r="G820" i="1"/>
  <c r="H820" i="1"/>
  <c r="G821" i="1"/>
  <c r="H821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G828" i="1"/>
  <c r="H828" i="1"/>
  <c r="G829" i="1"/>
  <c r="H829" i="1"/>
  <c r="G830" i="1"/>
  <c r="H830" i="1"/>
  <c r="G831" i="1"/>
  <c r="H831" i="1"/>
  <c r="G832" i="1"/>
  <c r="H832" i="1"/>
  <c r="G833" i="1"/>
  <c r="H833" i="1"/>
  <c r="G834" i="1"/>
  <c r="H834" i="1"/>
  <c r="G835" i="1"/>
  <c r="H835" i="1"/>
  <c r="G836" i="1"/>
  <c r="H836" i="1"/>
  <c r="G837" i="1"/>
  <c r="H837" i="1"/>
  <c r="G838" i="1"/>
  <c r="H838" i="1"/>
  <c r="G839" i="1"/>
  <c r="H839" i="1"/>
  <c r="G840" i="1"/>
  <c r="H840" i="1"/>
  <c r="G841" i="1"/>
  <c r="H841" i="1"/>
  <c r="G842" i="1"/>
  <c r="H842" i="1"/>
  <c r="G843" i="1"/>
  <c r="H843" i="1"/>
  <c r="G844" i="1"/>
  <c r="H844" i="1"/>
  <c r="G845" i="1"/>
  <c r="H845" i="1"/>
  <c r="G846" i="1"/>
  <c r="H846" i="1"/>
  <c r="G847" i="1"/>
  <c r="H847" i="1"/>
  <c r="G848" i="1"/>
  <c r="H848" i="1"/>
  <c r="G849" i="1"/>
  <c r="H849" i="1"/>
  <c r="G850" i="1"/>
  <c r="H850" i="1"/>
  <c r="G851" i="1"/>
  <c r="H851" i="1"/>
  <c r="G852" i="1"/>
  <c r="H852" i="1"/>
  <c r="G853" i="1"/>
  <c r="H853" i="1"/>
  <c r="G854" i="1"/>
  <c r="H854" i="1"/>
  <c r="G855" i="1"/>
  <c r="H855" i="1"/>
  <c r="G856" i="1"/>
  <c r="H856" i="1"/>
  <c r="G857" i="1"/>
  <c r="H857" i="1"/>
  <c r="G858" i="1"/>
  <c r="H858" i="1"/>
  <c r="G859" i="1"/>
  <c r="H859" i="1"/>
  <c r="G860" i="1"/>
  <c r="H860" i="1"/>
  <c r="G861" i="1"/>
  <c r="H861" i="1"/>
  <c r="G862" i="1"/>
  <c r="H862" i="1"/>
  <c r="G863" i="1"/>
  <c r="H863" i="1"/>
  <c r="G864" i="1"/>
  <c r="H864" i="1"/>
  <c r="G865" i="1"/>
  <c r="H865" i="1"/>
  <c r="G866" i="1"/>
  <c r="H866" i="1"/>
  <c r="G867" i="1"/>
  <c r="H867" i="1"/>
  <c r="G868" i="1"/>
  <c r="H868" i="1"/>
  <c r="G869" i="1"/>
  <c r="H869" i="1"/>
  <c r="G870" i="1"/>
  <c r="H870" i="1"/>
  <c r="G871" i="1"/>
  <c r="H871" i="1"/>
  <c r="G872" i="1"/>
  <c r="H872" i="1"/>
  <c r="G873" i="1"/>
  <c r="H873" i="1"/>
  <c r="G874" i="1"/>
  <c r="H874" i="1"/>
  <c r="G875" i="1"/>
  <c r="H875" i="1"/>
  <c r="G876" i="1"/>
  <c r="H876" i="1"/>
  <c r="G877" i="1"/>
  <c r="H877" i="1"/>
  <c r="G878" i="1"/>
  <c r="H878" i="1"/>
  <c r="G879" i="1"/>
  <c r="H879" i="1"/>
  <c r="G880" i="1"/>
  <c r="H880" i="1"/>
  <c r="G881" i="1"/>
  <c r="H881" i="1"/>
  <c r="G882" i="1"/>
  <c r="H882" i="1"/>
  <c r="G883" i="1"/>
  <c r="H883" i="1"/>
  <c r="G884" i="1"/>
  <c r="H884" i="1"/>
  <c r="G885" i="1"/>
  <c r="H885" i="1"/>
  <c r="G886" i="1"/>
  <c r="H886" i="1"/>
  <c r="G887" i="1"/>
  <c r="H887" i="1"/>
  <c r="G888" i="1"/>
  <c r="H888" i="1"/>
  <c r="G889" i="1"/>
  <c r="H889" i="1"/>
  <c r="G890" i="1"/>
  <c r="H890" i="1"/>
  <c r="G891" i="1"/>
  <c r="H891" i="1"/>
  <c r="G892" i="1"/>
  <c r="H892" i="1"/>
  <c r="G893" i="1"/>
  <c r="H893" i="1"/>
  <c r="G894" i="1"/>
  <c r="H894" i="1"/>
  <c r="G895" i="1"/>
  <c r="H895" i="1"/>
  <c r="G896" i="1"/>
  <c r="H896" i="1"/>
  <c r="G897" i="1"/>
  <c r="H897" i="1"/>
  <c r="G898" i="1"/>
  <c r="H898" i="1"/>
  <c r="G899" i="1"/>
  <c r="H899" i="1"/>
  <c r="G900" i="1"/>
  <c r="H900" i="1"/>
  <c r="G901" i="1"/>
  <c r="H901" i="1"/>
  <c r="G902" i="1"/>
  <c r="H902" i="1"/>
  <c r="G903" i="1"/>
  <c r="H903" i="1"/>
  <c r="G904" i="1"/>
  <c r="H904" i="1"/>
  <c r="G905" i="1"/>
  <c r="H905" i="1"/>
  <c r="G906" i="1"/>
  <c r="H906" i="1"/>
  <c r="G907" i="1"/>
  <c r="H907" i="1"/>
  <c r="G908" i="1"/>
  <c r="H908" i="1"/>
  <c r="G909" i="1"/>
  <c r="H909" i="1"/>
  <c r="G910" i="1"/>
  <c r="H910" i="1"/>
  <c r="G911" i="1"/>
  <c r="H911" i="1"/>
  <c r="G912" i="1"/>
  <c r="H912" i="1"/>
  <c r="G913" i="1"/>
  <c r="H913" i="1"/>
  <c r="G914" i="1"/>
  <c r="H914" i="1"/>
  <c r="G915" i="1"/>
  <c r="H915" i="1"/>
  <c r="G916" i="1"/>
  <c r="H916" i="1"/>
  <c r="G917" i="1"/>
  <c r="H917" i="1"/>
  <c r="G918" i="1"/>
  <c r="H918" i="1"/>
  <c r="G919" i="1"/>
  <c r="H919" i="1"/>
  <c r="G920" i="1"/>
  <c r="H920" i="1"/>
  <c r="G921" i="1"/>
  <c r="H921" i="1"/>
  <c r="G922" i="1"/>
  <c r="H922" i="1"/>
  <c r="G923" i="1"/>
  <c r="H923" i="1"/>
  <c r="G924" i="1"/>
  <c r="H924" i="1"/>
  <c r="G925" i="1"/>
  <c r="H925" i="1"/>
  <c r="G926" i="1"/>
  <c r="H926" i="1"/>
  <c r="G927" i="1"/>
  <c r="H927" i="1"/>
  <c r="G928" i="1"/>
  <c r="H928" i="1"/>
  <c r="G929" i="1"/>
  <c r="H929" i="1"/>
  <c r="G930" i="1"/>
  <c r="H930" i="1"/>
  <c r="G931" i="1"/>
  <c r="H931" i="1"/>
  <c r="G932" i="1"/>
  <c r="H932" i="1"/>
  <c r="G933" i="1"/>
  <c r="H933" i="1"/>
  <c r="G934" i="1"/>
  <c r="H934" i="1"/>
  <c r="G935" i="1"/>
  <c r="H935" i="1"/>
  <c r="G936" i="1"/>
  <c r="H936" i="1"/>
  <c r="G937" i="1"/>
  <c r="H937" i="1"/>
  <c r="G938" i="1"/>
  <c r="H938" i="1"/>
  <c r="G939" i="1"/>
  <c r="H939" i="1"/>
  <c r="G940" i="1"/>
  <c r="H940" i="1"/>
  <c r="G941" i="1"/>
  <c r="H941" i="1"/>
  <c r="G942" i="1"/>
  <c r="H942" i="1"/>
  <c r="G943" i="1"/>
  <c r="H943" i="1"/>
  <c r="G944" i="1"/>
  <c r="H944" i="1"/>
  <c r="G945" i="1"/>
  <c r="H945" i="1"/>
  <c r="G946" i="1"/>
  <c r="H946" i="1"/>
  <c r="G947" i="1"/>
  <c r="H947" i="1"/>
  <c r="G948" i="1"/>
  <c r="H948" i="1"/>
  <c r="G949" i="1"/>
  <c r="H949" i="1"/>
  <c r="G950" i="1"/>
  <c r="H950" i="1"/>
  <c r="G951" i="1"/>
  <c r="H951" i="1"/>
  <c r="G952" i="1"/>
  <c r="H952" i="1"/>
  <c r="G953" i="1"/>
  <c r="H953" i="1"/>
  <c r="G954" i="1"/>
  <c r="H954" i="1"/>
  <c r="G955" i="1"/>
  <c r="H955" i="1"/>
  <c r="G956" i="1"/>
  <c r="H956" i="1"/>
  <c r="G957" i="1"/>
  <c r="H957" i="1"/>
  <c r="G958" i="1"/>
  <c r="H958" i="1"/>
  <c r="G959" i="1"/>
  <c r="H959" i="1"/>
  <c r="G960" i="1"/>
  <c r="H960" i="1"/>
  <c r="G961" i="1"/>
  <c r="H961" i="1"/>
  <c r="G962" i="1"/>
  <c r="H962" i="1"/>
  <c r="G963" i="1"/>
  <c r="H963" i="1"/>
  <c r="G964" i="1"/>
  <c r="H964" i="1"/>
  <c r="G965" i="1"/>
  <c r="H965" i="1"/>
  <c r="G966" i="1"/>
  <c r="H966" i="1"/>
  <c r="G967" i="1"/>
  <c r="H967" i="1"/>
  <c r="G968" i="1"/>
  <c r="H968" i="1"/>
  <c r="G969" i="1"/>
  <c r="H969" i="1"/>
  <c r="G970" i="1"/>
  <c r="H970" i="1"/>
  <c r="G971" i="1"/>
  <c r="H971" i="1"/>
  <c r="G972" i="1"/>
  <c r="H972" i="1"/>
  <c r="G973" i="1"/>
  <c r="H973" i="1"/>
  <c r="G974" i="1"/>
  <c r="H974" i="1"/>
  <c r="G975" i="1"/>
  <c r="H975" i="1"/>
  <c r="G976" i="1"/>
  <c r="H976" i="1"/>
  <c r="G977" i="1"/>
  <c r="H977" i="1"/>
  <c r="G978" i="1"/>
  <c r="H978" i="1"/>
  <c r="G979" i="1"/>
  <c r="H979" i="1"/>
  <c r="G980" i="1"/>
  <c r="H980" i="1"/>
  <c r="G981" i="1"/>
  <c r="H981" i="1"/>
  <c r="G982" i="1"/>
  <c r="H982" i="1"/>
  <c r="G983" i="1"/>
  <c r="H983" i="1"/>
  <c r="G984" i="1"/>
  <c r="H984" i="1"/>
  <c r="G985" i="1"/>
  <c r="H985" i="1"/>
  <c r="G986" i="1"/>
  <c r="H986" i="1"/>
  <c r="G987" i="1"/>
  <c r="H987" i="1"/>
  <c r="G988" i="1"/>
  <c r="H988" i="1"/>
  <c r="G989" i="1"/>
  <c r="H989" i="1"/>
  <c r="G990" i="1"/>
  <c r="H990" i="1"/>
  <c r="G991" i="1"/>
  <c r="H991" i="1"/>
  <c r="G992" i="1"/>
  <c r="H992" i="1"/>
  <c r="G993" i="1"/>
  <c r="H993" i="1"/>
  <c r="G994" i="1"/>
  <c r="H994" i="1"/>
  <c r="G995" i="1"/>
  <c r="H995" i="1"/>
  <c r="G996" i="1"/>
  <c r="H996" i="1"/>
  <c r="G997" i="1"/>
  <c r="H997" i="1"/>
  <c r="G998" i="1"/>
  <c r="H998" i="1"/>
  <c r="G999" i="1"/>
  <c r="H999" i="1"/>
  <c r="G1000" i="1"/>
  <c r="H1000" i="1"/>
  <c r="G1001" i="1"/>
  <c r="H1001" i="1"/>
  <c r="G1002" i="1"/>
  <c r="H1002" i="1"/>
  <c r="G1003" i="1"/>
  <c r="H1003" i="1"/>
  <c r="G1004" i="1"/>
  <c r="H1004" i="1"/>
  <c r="G1005" i="1"/>
  <c r="H1005" i="1"/>
  <c r="G1006" i="1"/>
  <c r="H1006" i="1"/>
  <c r="G1007" i="1"/>
  <c r="H1007" i="1"/>
  <c r="G1008" i="1"/>
  <c r="H1008" i="1"/>
  <c r="G1009" i="1"/>
  <c r="H1009" i="1"/>
  <c r="G1010" i="1"/>
  <c r="H1010" i="1"/>
  <c r="G1011" i="1"/>
  <c r="H1011" i="1"/>
  <c r="G1012" i="1"/>
  <c r="H1012" i="1"/>
  <c r="G1013" i="1"/>
  <c r="H1013" i="1"/>
  <c r="G1014" i="1"/>
  <c r="H1014" i="1"/>
  <c r="G1015" i="1"/>
  <c r="H1015" i="1"/>
  <c r="G1016" i="1"/>
  <c r="H1016" i="1"/>
  <c r="G1017" i="1"/>
  <c r="H1017" i="1"/>
  <c r="G1018" i="1"/>
  <c r="H1018" i="1"/>
  <c r="G1019" i="1"/>
  <c r="H1019" i="1"/>
  <c r="G1020" i="1"/>
  <c r="H1020" i="1"/>
  <c r="G1021" i="1"/>
  <c r="H1021" i="1"/>
  <c r="G1022" i="1"/>
  <c r="H1022" i="1"/>
  <c r="G1023" i="1"/>
  <c r="H1023" i="1"/>
  <c r="G1024" i="1"/>
  <c r="H1024" i="1"/>
  <c r="G1025" i="1"/>
  <c r="H1025" i="1"/>
  <c r="G1026" i="1"/>
  <c r="H1026" i="1"/>
  <c r="G1027" i="1"/>
  <c r="H1027" i="1"/>
  <c r="G1028" i="1"/>
  <c r="H1028" i="1"/>
  <c r="G1029" i="1"/>
  <c r="H1029" i="1"/>
  <c r="G1030" i="1"/>
  <c r="H1030" i="1"/>
  <c r="G1031" i="1"/>
  <c r="H1031" i="1"/>
  <c r="G1032" i="1"/>
  <c r="H1032" i="1"/>
  <c r="G1033" i="1"/>
  <c r="H1033" i="1"/>
  <c r="G1034" i="1"/>
  <c r="H1034" i="1"/>
  <c r="G1035" i="1"/>
  <c r="H1035" i="1"/>
  <c r="G1036" i="1"/>
  <c r="H1036" i="1"/>
  <c r="G1037" i="1"/>
  <c r="H1037" i="1"/>
  <c r="G1038" i="1"/>
  <c r="H1038" i="1"/>
  <c r="G1039" i="1"/>
  <c r="H1039" i="1"/>
  <c r="G1040" i="1"/>
  <c r="H1040" i="1"/>
  <c r="G1041" i="1"/>
  <c r="H1041" i="1"/>
  <c r="G1042" i="1"/>
  <c r="H1042" i="1"/>
  <c r="G1043" i="1"/>
  <c r="H1043" i="1"/>
  <c r="G1044" i="1"/>
  <c r="H1044" i="1"/>
  <c r="G1045" i="1"/>
  <c r="H1045" i="1"/>
  <c r="G1046" i="1"/>
  <c r="H1046" i="1"/>
  <c r="G1047" i="1"/>
  <c r="H1047" i="1"/>
  <c r="G1048" i="1"/>
  <c r="H1048" i="1"/>
  <c r="G1049" i="1"/>
  <c r="H1049" i="1"/>
  <c r="G1050" i="1"/>
  <c r="H1050" i="1"/>
  <c r="G1051" i="1"/>
  <c r="H1051" i="1"/>
  <c r="G1052" i="1"/>
  <c r="H1052" i="1"/>
  <c r="G1053" i="1"/>
  <c r="H1053" i="1"/>
  <c r="G1054" i="1"/>
  <c r="H1054" i="1"/>
  <c r="G1055" i="1"/>
  <c r="H1055" i="1"/>
  <c r="G1056" i="1"/>
  <c r="H1056" i="1"/>
  <c r="G1057" i="1"/>
  <c r="H1057" i="1"/>
  <c r="G1058" i="1"/>
  <c r="H1058" i="1"/>
  <c r="G1059" i="1"/>
  <c r="H1059" i="1"/>
  <c r="G1060" i="1"/>
  <c r="H1060" i="1"/>
  <c r="G1061" i="1"/>
  <c r="H1061" i="1"/>
  <c r="G1062" i="1"/>
  <c r="H1062" i="1"/>
  <c r="G1063" i="1"/>
  <c r="H1063" i="1"/>
  <c r="G1064" i="1"/>
  <c r="H1064" i="1"/>
  <c r="G1065" i="1"/>
  <c r="H1065" i="1"/>
  <c r="G1066" i="1"/>
  <c r="H1066" i="1"/>
  <c r="G1067" i="1"/>
  <c r="H1067" i="1"/>
  <c r="G1068" i="1"/>
  <c r="H1068" i="1"/>
  <c r="G1069" i="1"/>
  <c r="H1069" i="1"/>
  <c r="G1070" i="1"/>
  <c r="H1070" i="1"/>
  <c r="G1071" i="1"/>
  <c r="H1071" i="1"/>
  <c r="G1072" i="1"/>
  <c r="H1072" i="1"/>
  <c r="G1073" i="1"/>
  <c r="H1073" i="1"/>
  <c r="G1074" i="1"/>
  <c r="H1074" i="1"/>
  <c r="G1075" i="1"/>
  <c r="H1075" i="1"/>
  <c r="G1076" i="1"/>
  <c r="H1076" i="1"/>
  <c r="G1077" i="1"/>
  <c r="H1077" i="1"/>
  <c r="G1078" i="1"/>
  <c r="H1078" i="1"/>
  <c r="G1079" i="1"/>
  <c r="H1079" i="1"/>
  <c r="G1080" i="1"/>
  <c r="H1080" i="1"/>
  <c r="G1081" i="1"/>
  <c r="H1081" i="1"/>
  <c r="G1082" i="1"/>
  <c r="H1082" i="1"/>
  <c r="G1083" i="1"/>
  <c r="H1083" i="1"/>
  <c r="G1084" i="1"/>
  <c r="H1084" i="1"/>
  <c r="G1085" i="1"/>
  <c r="H1085" i="1"/>
  <c r="G1086" i="1"/>
  <c r="H1086" i="1"/>
  <c r="G1087" i="1"/>
  <c r="H1087" i="1"/>
  <c r="G1088" i="1"/>
  <c r="H1088" i="1"/>
  <c r="G1089" i="1"/>
  <c r="H1089" i="1"/>
  <c r="G1090" i="1"/>
  <c r="H1090" i="1"/>
  <c r="G1091" i="1"/>
  <c r="H1091" i="1"/>
  <c r="G1092" i="1"/>
  <c r="H1092" i="1"/>
  <c r="G1093" i="1"/>
  <c r="H1093" i="1"/>
  <c r="G1094" i="1"/>
  <c r="H1094" i="1"/>
  <c r="G1095" i="1"/>
  <c r="H1095" i="1"/>
  <c r="G1096" i="1"/>
  <c r="H1096" i="1"/>
  <c r="G1097" i="1"/>
  <c r="H1097" i="1"/>
  <c r="G1098" i="1"/>
  <c r="H1098" i="1"/>
  <c r="G1099" i="1"/>
  <c r="H1099" i="1"/>
  <c r="G1100" i="1"/>
  <c r="H1100" i="1"/>
  <c r="G1101" i="1"/>
  <c r="H1101" i="1"/>
  <c r="G1102" i="1"/>
  <c r="H1102" i="1"/>
  <c r="G1103" i="1"/>
  <c r="H1103" i="1"/>
  <c r="G1104" i="1"/>
  <c r="H1104" i="1"/>
  <c r="G1105" i="1"/>
  <c r="H1105" i="1"/>
  <c r="G1106" i="1"/>
  <c r="H1106" i="1"/>
  <c r="G1107" i="1"/>
  <c r="H1107" i="1"/>
  <c r="G1108" i="1"/>
  <c r="H1108" i="1"/>
  <c r="G1109" i="1"/>
  <c r="H1109" i="1"/>
  <c r="G1110" i="1"/>
  <c r="H1110" i="1"/>
  <c r="G1111" i="1"/>
  <c r="H1111" i="1"/>
  <c r="G1112" i="1"/>
  <c r="H1112" i="1"/>
  <c r="G1113" i="1"/>
  <c r="H1113" i="1"/>
  <c r="G1114" i="1"/>
  <c r="H1114" i="1"/>
  <c r="G1115" i="1"/>
  <c r="H1115" i="1"/>
  <c r="G1116" i="1"/>
  <c r="H1116" i="1"/>
  <c r="G1117" i="1"/>
  <c r="H1117" i="1"/>
  <c r="G1118" i="1"/>
  <c r="H1118" i="1"/>
  <c r="G1119" i="1"/>
  <c r="H1119" i="1"/>
  <c r="G1120" i="1"/>
  <c r="H1120" i="1"/>
  <c r="G1121" i="1"/>
  <c r="H1121" i="1"/>
  <c r="G1122" i="1"/>
  <c r="H1122" i="1"/>
  <c r="G1123" i="1"/>
  <c r="H1123" i="1"/>
  <c r="G1124" i="1"/>
  <c r="H1124" i="1"/>
  <c r="G1125" i="1"/>
  <c r="H1125" i="1"/>
  <c r="G1126" i="1"/>
  <c r="H1126" i="1"/>
  <c r="G1127" i="1"/>
  <c r="H1127" i="1"/>
  <c r="G1128" i="1"/>
  <c r="H1128" i="1"/>
  <c r="G1129" i="1"/>
  <c r="H1129" i="1"/>
  <c r="G1130" i="1"/>
  <c r="H1130" i="1"/>
  <c r="G1131" i="1"/>
  <c r="H1131" i="1"/>
  <c r="G1132" i="1"/>
  <c r="H1132" i="1"/>
  <c r="G1133" i="1"/>
  <c r="H1133" i="1"/>
  <c r="G1134" i="1"/>
  <c r="H1134" i="1"/>
  <c r="G1135" i="1"/>
  <c r="H1135" i="1"/>
  <c r="G1136" i="1"/>
  <c r="H1136" i="1"/>
  <c r="G1137" i="1"/>
  <c r="H1137" i="1"/>
  <c r="G1138" i="1"/>
  <c r="H1138" i="1"/>
  <c r="G1139" i="1"/>
  <c r="H1139" i="1"/>
  <c r="G1140" i="1"/>
  <c r="H1140" i="1"/>
  <c r="G1141" i="1"/>
  <c r="H1141" i="1"/>
  <c r="G1142" i="1"/>
  <c r="H1142" i="1"/>
  <c r="G1143" i="1"/>
  <c r="H1143" i="1"/>
  <c r="G1144" i="1"/>
  <c r="H1144" i="1"/>
  <c r="G1145" i="1"/>
  <c r="H1145" i="1"/>
  <c r="G1146" i="1"/>
  <c r="H1146" i="1"/>
  <c r="G1147" i="1"/>
  <c r="H1147" i="1"/>
  <c r="G1148" i="1"/>
  <c r="H1148" i="1"/>
  <c r="G1149" i="1"/>
  <c r="H1149" i="1"/>
  <c r="G1150" i="1"/>
  <c r="H1150" i="1"/>
  <c r="G1151" i="1"/>
  <c r="H1151" i="1"/>
  <c r="G1152" i="1"/>
  <c r="H1152" i="1"/>
  <c r="G1153" i="1"/>
  <c r="H1153" i="1"/>
  <c r="G1154" i="1"/>
  <c r="H1154" i="1"/>
  <c r="G1155" i="1"/>
  <c r="H1155" i="1"/>
  <c r="G1156" i="1"/>
  <c r="H1156" i="1"/>
  <c r="G1157" i="1"/>
  <c r="H1157" i="1"/>
  <c r="G1158" i="1"/>
  <c r="H1158" i="1"/>
  <c r="G1159" i="1"/>
  <c r="H1159" i="1"/>
  <c r="G1160" i="1"/>
  <c r="H1160" i="1"/>
  <c r="G1161" i="1"/>
  <c r="H1161" i="1"/>
  <c r="G1162" i="1"/>
  <c r="H1162" i="1"/>
  <c r="G1163" i="1"/>
  <c r="H1163" i="1"/>
  <c r="G1164" i="1"/>
  <c r="H1164" i="1"/>
  <c r="G1165" i="1"/>
  <c r="H1165" i="1"/>
  <c r="G1166" i="1"/>
  <c r="H1166" i="1"/>
  <c r="G1167" i="1"/>
  <c r="H1167" i="1"/>
  <c r="G1168" i="1"/>
  <c r="H1168" i="1"/>
  <c r="G1169" i="1"/>
  <c r="H1169" i="1"/>
  <c r="G1170" i="1"/>
  <c r="H1170" i="1"/>
  <c r="G1171" i="1"/>
  <c r="H1171" i="1"/>
  <c r="G1172" i="1"/>
  <c r="H1172" i="1"/>
  <c r="G1173" i="1"/>
  <c r="H1173" i="1"/>
  <c r="G1174" i="1"/>
  <c r="H1174" i="1"/>
  <c r="G1175" i="1"/>
  <c r="H1175" i="1"/>
  <c r="G1176" i="1"/>
  <c r="H1176" i="1"/>
  <c r="G1177" i="1"/>
  <c r="H1177" i="1"/>
  <c r="G1178" i="1"/>
  <c r="H1178" i="1"/>
  <c r="G1179" i="1"/>
  <c r="H1179" i="1"/>
  <c r="G1180" i="1"/>
  <c r="H1180" i="1"/>
  <c r="G1181" i="1"/>
  <c r="H1181" i="1"/>
  <c r="G1182" i="1"/>
  <c r="H1182" i="1"/>
  <c r="G1183" i="1"/>
  <c r="H1183" i="1"/>
  <c r="G1184" i="1"/>
  <c r="H1184" i="1"/>
  <c r="G1185" i="1"/>
  <c r="H1185" i="1"/>
  <c r="G1186" i="1"/>
  <c r="H1186" i="1"/>
  <c r="G1187" i="1"/>
  <c r="H1187" i="1"/>
  <c r="G1188" i="1"/>
  <c r="H1188" i="1"/>
  <c r="G1189" i="1"/>
  <c r="H1189" i="1"/>
  <c r="G1190" i="1"/>
  <c r="H1190" i="1"/>
  <c r="G1191" i="1"/>
  <c r="H1191" i="1"/>
  <c r="G1192" i="1"/>
  <c r="H1192" i="1"/>
  <c r="G1193" i="1"/>
  <c r="H1193" i="1"/>
  <c r="G1194" i="1"/>
  <c r="H1194" i="1"/>
  <c r="G1195" i="1"/>
  <c r="H1195" i="1"/>
  <c r="G1196" i="1"/>
  <c r="H1196" i="1"/>
  <c r="G1197" i="1"/>
  <c r="H1197" i="1"/>
  <c r="G1198" i="1"/>
  <c r="H1198" i="1"/>
  <c r="G1199" i="1"/>
  <c r="H1199" i="1"/>
  <c r="G1200" i="1"/>
  <c r="H1200" i="1"/>
  <c r="G1201" i="1"/>
  <c r="H1201" i="1"/>
  <c r="G1202" i="1"/>
  <c r="H1202" i="1"/>
  <c r="G1203" i="1"/>
  <c r="H1203" i="1"/>
  <c r="G1204" i="1"/>
  <c r="H1204" i="1"/>
  <c r="G1205" i="1"/>
  <c r="H1205" i="1"/>
  <c r="G1206" i="1"/>
  <c r="H1206" i="1"/>
  <c r="G1207" i="1"/>
  <c r="H1207" i="1"/>
  <c r="G1208" i="1"/>
  <c r="H1208" i="1"/>
  <c r="G1209" i="1"/>
  <c r="H1209" i="1"/>
  <c r="G1210" i="1"/>
  <c r="H1210" i="1"/>
  <c r="G1211" i="1"/>
  <c r="H1211" i="1"/>
  <c r="G1212" i="1"/>
  <c r="H1212" i="1"/>
  <c r="G1213" i="1"/>
  <c r="H1213" i="1"/>
  <c r="G1214" i="1"/>
  <c r="H1214" i="1"/>
  <c r="G1215" i="1"/>
  <c r="H1215" i="1"/>
  <c r="G1216" i="1"/>
  <c r="H1216" i="1"/>
  <c r="G1217" i="1"/>
  <c r="H1217" i="1"/>
  <c r="G1218" i="1"/>
  <c r="H1218" i="1"/>
  <c r="G1219" i="1"/>
  <c r="H1219" i="1"/>
  <c r="G1220" i="1"/>
  <c r="H1220" i="1"/>
  <c r="G1221" i="1"/>
  <c r="H1221" i="1"/>
  <c r="G1222" i="1"/>
  <c r="H1222" i="1"/>
  <c r="G1223" i="1"/>
  <c r="H1223" i="1"/>
  <c r="G1224" i="1"/>
  <c r="H1224" i="1"/>
  <c r="G1225" i="1"/>
  <c r="H1225" i="1"/>
  <c r="G1226" i="1"/>
  <c r="H1226" i="1"/>
  <c r="G1227" i="1"/>
  <c r="H1227" i="1"/>
  <c r="G1228" i="1"/>
  <c r="H1228" i="1"/>
  <c r="G1229" i="1"/>
  <c r="H1229" i="1"/>
  <c r="G1230" i="1"/>
  <c r="H1230" i="1"/>
  <c r="G1231" i="1"/>
  <c r="H1231" i="1"/>
  <c r="G1232" i="1"/>
  <c r="H1232" i="1"/>
  <c r="G1233" i="1"/>
  <c r="H1233" i="1"/>
  <c r="G1234" i="1"/>
  <c r="H1234" i="1"/>
  <c r="G1235" i="1"/>
  <c r="H1235" i="1"/>
  <c r="G1236" i="1"/>
  <c r="H1236" i="1"/>
  <c r="G1237" i="1"/>
  <c r="H1237" i="1"/>
  <c r="G1238" i="1"/>
  <c r="H1238" i="1"/>
  <c r="G1239" i="1"/>
  <c r="H1239" i="1"/>
  <c r="G1240" i="1"/>
  <c r="H1240" i="1"/>
  <c r="G1241" i="1"/>
  <c r="H1241" i="1"/>
  <c r="G1242" i="1"/>
  <c r="H1242" i="1"/>
  <c r="G1243" i="1"/>
  <c r="H1243" i="1"/>
  <c r="G1244" i="1"/>
  <c r="H1244" i="1"/>
  <c r="G1245" i="1"/>
  <c r="H1245" i="1"/>
  <c r="G1246" i="1"/>
  <c r="H1246" i="1"/>
  <c r="G1247" i="1"/>
  <c r="H1247" i="1"/>
  <c r="G1248" i="1"/>
  <c r="H1248" i="1"/>
  <c r="G1249" i="1"/>
  <c r="H1249" i="1"/>
  <c r="G1250" i="1"/>
  <c r="H1250" i="1"/>
  <c r="G1251" i="1"/>
  <c r="H1251" i="1"/>
  <c r="G1252" i="1"/>
  <c r="H1252" i="1"/>
  <c r="G1253" i="1"/>
  <c r="H1253" i="1"/>
  <c r="G1254" i="1"/>
  <c r="H1254" i="1"/>
  <c r="G1255" i="1"/>
  <c r="H1255" i="1"/>
  <c r="G1256" i="1"/>
  <c r="H1256" i="1"/>
  <c r="G1257" i="1"/>
  <c r="H1257" i="1"/>
  <c r="G1258" i="1"/>
  <c r="H1258" i="1"/>
  <c r="G1259" i="1"/>
  <c r="H1259" i="1"/>
  <c r="G1260" i="1"/>
  <c r="H1260" i="1"/>
  <c r="G1261" i="1"/>
  <c r="H1261" i="1"/>
  <c r="G1262" i="1"/>
  <c r="H1262" i="1"/>
  <c r="G1263" i="1"/>
  <c r="H1263" i="1"/>
  <c r="G1264" i="1"/>
  <c r="H1264" i="1"/>
  <c r="G1265" i="1"/>
  <c r="H1265" i="1"/>
  <c r="G1266" i="1"/>
  <c r="H1266" i="1"/>
  <c r="G1267" i="1"/>
  <c r="H1267" i="1"/>
  <c r="G1268" i="1"/>
  <c r="H1268" i="1"/>
  <c r="G1269" i="1"/>
  <c r="H1269" i="1"/>
  <c r="G1270" i="1"/>
  <c r="H1270" i="1"/>
  <c r="G1271" i="1"/>
  <c r="H1271" i="1"/>
  <c r="G1272" i="1"/>
  <c r="H1272" i="1"/>
  <c r="G1273" i="1"/>
  <c r="H1273" i="1"/>
  <c r="G1274" i="1"/>
  <c r="H1274" i="1"/>
  <c r="G1275" i="1"/>
  <c r="H1275" i="1"/>
  <c r="G1276" i="1"/>
  <c r="H1276" i="1"/>
  <c r="G1277" i="1"/>
  <c r="H1277" i="1"/>
  <c r="G1278" i="1"/>
  <c r="H1278" i="1"/>
  <c r="G1279" i="1"/>
  <c r="H1279" i="1"/>
  <c r="G1280" i="1"/>
  <c r="H1280" i="1"/>
  <c r="G1281" i="1"/>
  <c r="H1281" i="1"/>
  <c r="G1282" i="1"/>
  <c r="H1282" i="1"/>
  <c r="G1283" i="1"/>
  <c r="H1283" i="1"/>
  <c r="G1284" i="1"/>
  <c r="H1284" i="1"/>
  <c r="G1285" i="1"/>
  <c r="H1285" i="1"/>
  <c r="G1286" i="1"/>
  <c r="H1286" i="1"/>
  <c r="G1287" i="1"/>
  <c r="H1287" i="1"/>
  <c r="G1288" i="1"/>
  <c r="H1288" i="1"/>
  <c r="G1289" i="1"/>
  <c r="H1289" i="1"/>
  <c r="G1290" i="1"/>
  <c r="H1290" i="1"/>
  <c r="G1291" i="1"/>
  <c r="H1291" i="1"/>
  <c r="G1292" i="1"/>
  <c r="H1292" i="1"/>
  <c r="G1293" i="1"/>
  <c r="H1293" i="1"/>
  <c r="G1294" i="1"/>
  <c r="H1294" i="1"/>
  <c r="G1295" i="1"/>
  <c r="H1295" i="1"/>
  <c r="G1296" i="1"/>
  <c r="H1296" i="1"/>
  <c r="G1297" i="1"/>
  <c r="H1297" i="1"/>
  <c r="G1298" i="1"/>
  <c r="H1298" i="1"/>
  <c r="G1299" i="1"/>
  <c r="H1299" i="1"/>
  <c r="G1300" i="1"/>
  <c r="H1300" i="1"/>
  <c r="G1301" i="1"/>
  <c r="H1301" i="1"/>
  <c r="G1302" i="1"/>
  <c r="H1302" i="1"/>
  <c r="G1303" i="1"/>
  <c r="H1303" i="1"/>
  <c r="G1304" i="1"/>
  <c r="H1304" i="1"/>
  <c r="G1305" i="1"/>
  <c r="H1305" i="1"/>
  <c r="G1306" i="1"/>
  <c r="H1306" i="1"/>
  <c r="G1307" i="1"/>
  <c r="H1307" i="1"/>
  <c r="G1308" i="1"/>
  <c r="H1308" i="1"/>
  <c r="G1309" i="1"/>
  <c r="H1309" i="1"/>
  <c r="G1310" i="1"/>
  <c r="H1310" i="1"/>
  <c r="G1311" i="1"/>
  <c r="H1311" i="1"/>
  <c r="G1312" i="1"/>
  <c r="H1312" i="1"/>
  <c r="G1313" i="1"/>
  <c r="H1313" i="1"/>
  <c r="G1314" i="1"/>
  <c r="H1314" i="1"/>
  <c r="G1315" i="1"/>
  <c r="H1315" i="1"/>
  <c r="G1316" i="1"/>
  <c r="H1316" i="1"/>
  <c r="G1317" i="1"/>
  <c r="H1317" i="1"/>
  <c r="G1318" i="1"/>
  <c r="H1318" i="1"/>
  <c r="G1319" i="1"/>
  <c r="H1319" i="1"/>
  <c r="G1320" i="1"/>
  <c r="H1320" i="1"/>
  <c r="G1321" i="1"/>
  <c r="H1321" i="1"/>
  <c r="G1322" i="1"/>
  <c r="H1322" i="1"/>
  <c r="G1323" i="1"/>
  <c r="H1323" i="1"/>
  <c r="G1324" i="1"/>
  <c r="H1324" i="1"/>
  <c r="G1325" i="1"/>
  <c r="H1325" i="1"/>
  <c r="G1326" i="1"/>
  <c r="H1326" i="1"/>
  <c r="G1327" i="1"/>
  <c r="H1327" i="1"/>
  <c r="G1328" i="1"/>
  <c r="H1328" i="1"/>
  <c r="G1329" i="1"/>
  <c r="H1329" i="1"/>
  <c r="G1330" i="1"/>
  <c r="H1330" i="1"/>
  <c r="G1331" i="1"/>
  <c r="H1331" i="1"/>
  <c r="G1332" i="1"/>
  <c r="H1332" i="1"/>
  <c r="G1333" i="1"/>
  <c r="H1333" i="1"/>
  <c r="G1334" i="1"/>
  <c r="H1334" i="1"/>
  <c r="G1335" i="1"/>
  <c r="H1335" i="1"/>
  <c r="G1336" i="1"/>
  <c r="H1336" i="1"/>
  <c r="G1337" i="1"/>
  <c r="H1337" i="1"/>
  <c r="G1338" i="1"/>
  <c r="H1338" i="1"/>
  <c r="G1339" i="1"/>
  <c r="H1339" i="1"/>
  <c r="G1340" i="1"/>
  <c r="H1340" i="1"/>
  <c r="G1341" i="1"/>
  <c r="H1341" i="1"/>
  <c r="G1342" i="1"/>
  <c r="H1342" i="1"/>
  <c r="G1343" i="1"/>
  <c r="H1343" i="1"/>
  <c r="G1344" i="1"/>
  <c r="H1344" i="1"/>
  <c r="G1345" i="1"/>
  <c r="H1345" i="1"/>
  <c r="G1346" i="1"/>
  <c r="H1346" i="1"/>
  <c r="G1347" i="1"/>
  <c r="H1347" i="1"/>
  <c r="G1348" i="1"/>
  <c r="H1348" i="1"/>
  <c r="G1349" i="1"/>
  <c r="H1349" i="1"/>
  <c r="G1350" i="1"/>
  <c r="H1350" i="1"/>
  <c r="G1351" i="1"/>
  <c r="H1351" i="1"/>
  <c r="G1352" i="1"/>
  <c r="H1352" i="1"/>
  <c r="G1353" i="1"/>
  <c r="H1353" i="1"/>
  <c r="G1354" i="1"/>
  <c r="H1354" i="1"/>
  <c r="G1355" i="1"/>
  <c r="H1355" i="1"/>
  <c r="G1356" i="1"/>
  <c r="H1356" i="1"/>
  <c r="G1357" i="1"/>
  <c r="H1357" i="1"/>
  <c r="G1358" i="1"/>
  <c r="H1358" i="1"/>
  <c r="G1359" i="1"/>
  <c r="H1359" i="1"/>
  <c r="G1360" i="1"/>
  <c r="H1360" i="1"/>
  <c r="G1361" i="1"/>
  <c r="H1361" i="1"/>
  <c r="G1362" i="1"/>
  <c r="H1362" i="1"/>
  <c r="G1363" i="1"/>
  <c r="H1363" i="1"/>
  <c r="G1364" i="1"/>
  <c r="H1364" i="1"/>
  <c r="G1365" i="1"/>
  <c r="H1365" i="1"/>
  <c r="G1366" i="1"/>
  <c r="H1366" i="1"/>
  <c r="G1367" i="1"/>
  <c r="H1367" i="1"/>
  <c r="G1368" i="1"/>
  <c r="H1368" i="1"/>
  <c r="G1369" i="1"/>
  <c r="H1369" i="1"/>
  <c r="G1370" i="1"/>
  <c r="H1370" i="1"/>
  <c r="G1371" i="1"/>
  <c r="H1371" i="1"/>
  <c r="G1372" i="1"/>
  <c r="H1372" i="1"/>
  <c r="G1373" i="1"/>
  <c r="H1373" i="1"/>
  <c r="G1374" i="1"/>
  <c r="H1374" i="1"/>
  <c r="G1375" i="1"/>
  <c r="H1375" i="1"/>
  <c r="G1376" i="1"/>
  <c r="H1376" i="1"/>
  <c r="G1377" i="1"/>
  <c r="H1377" i="1"/>
  <c r="G1378" i="1"/>
  <c r="H1378" i="1"/>
  <c r="G1379" i="1"/>
  <c r="H1379" i="1"/>
  <c r="G1380" i="1"/>
  <c r="H1380" i="1"/>
  <c r="G1381" i="1"/>
  <c r="H1381" i="1"/>
  <c r="G1382" i="1"/>
  <c r="H1382" i="1"/>
  <c r="G1383" i="1"/>
  <c r="H1383" i="1"/>
  <c r="G1384" i="1"/>
  <c r="H1384" i="1"/>
  <c r="G1385" i="1"/>
  <c r="H1385" i="1"/>
  <c r="G1386" i="1"/>
  <c r="H1386" i="1"/>
  <c r="G1387" i="1"/>
  <c r="H1387" i="1"/>
  <c r="G1388" i="1"/>
  <c r="H1388" i="1"/>
  <c r="G1389" i="1"/>
  <c r="H1389" i="1"/>
  <c r="G1390" i="1"/>
  <c r="H1390" i="1"/>
  <c r="G1391" i="1"/>
  <c r="H1391" i="1"/>
  <c r="G1392" i="1"/>
  <c r="H1392" i="1"/>
  <c r="G1393" i="1"/>
  <c r="H1393" i="1"/>
  <c r="G1394" i="1"/>
  <c r="H1394" i="1"/>
  <c r="G1395" i="1"/>
  <c r="H1395" i="1"/>
  <c r="G1396" i="1"/>
  <c r="H1396" i="1"/>
  <c r="G1397" i="1"/>
  <c r="H1397" i="1"/>
  <c r="G1398" i="1"/>
  <c r="H1398" i="1"/>
  <c r="G1399" i="1"/>
  <c r="H1399" i="1"/>
  <c r="G1400" i="1"/>
  <c r="H1400" i="1"/>
  <c r="G1401" i="1"/>
  <c r="H1401" i="1"/>
  <c r="G1402" i="1"/>
  <c r="H1402" i="1"/>
  <c r="G1403" i="1"/>
  <c r="H1403" i="1"/>
  <c r="G1404" i="1"/>
  <c r="H1404" i="1"/>
  <c r="G1405" i="1"/>
  <c r="H1405" i="1"/>
  <c r="G1406" i="1"/>
  <c r="H1406" i="1"/>
  <c r="G1407" i="1"/>
  <c r="H1407" i="1"/>
  <c r="G1408" i="1"/>
  <c r="H1408" i="1"/>
  <c r="G1409" i="1"/>
  <c r="H1409" i="1"/>
  <c r="G1410" i="1"/>
  <c r="H1410" i="1"/>
  <c r="G1411" i="1"/>
  <c r="H1411" i="1"/>
  <c r="G1412" i="1"/>
  <c r="H1412" i="1"/>
  <c r="G1413" i="1"/>
  <c r="H1413" i="1"/>
  <c r="G1414" i="1"/>
  <c r="H1414" i="1"/>
  <c r="G1415" i="1"/>
  <c r="H1415" i="1"/>
  <c r="G1416" i="1"/>
  <c r="H1416" i="1"/>
  <c r="G1417" i="1"/>
  <c r="H1417" i="1"/>
  <c r="G1418" i="1"/>
  <c r="H1418" i="1"/>
  <c r="G1419" i="1"/>
  <c r="H1419" i="1"/>
  <c r="G1420" i="1"/>
  <c r="H1420" i="1"/>
  <c r="G1421" i="1"/>
  <c r="H1421" i="1"/>
  <c r="G1422" i="1"/>
  <c r="H1422" i="1"/>
  <c r="G1423" i="1"/>
  <c r="H1423" i="1"/>
  <c r="G1424" i="1"/>
  <c r="H1424" i="1"/>
  <c r="G1425" i="1"/>
  <c r="H1425" i="1"/>
  <c r="G1426" i="1"/>
  <c r="H1426" i="1"/>
  <c r="G1427" i="1"/>
  <c r="H1427" i="1"/>
  <c r="G1428" i="1"/>
  <c r="H1428" i="1"/>
  <c r="G1429" i="1"/>
  <c r="H1429" i="1"/>
  <c r="G1430" i="1"/>
  <c r="H1430" i="1"/>
  <c r="G1431" i="1"/>
  <c r="H1431" i="1"/>
  <c r="G1432" i="1"/>
  <c r="H1432" i="1"/>
  <c r="G1433" i="1"/>
  <c r="H1433" i="1"/>
  <c r="G1434" i="1"/>
  <c r="H1434" i="1"/>
  <c r="G1435" i="1"/>
  <c r="H1435" i="1"/>
  <c r="G1436" i="1"/>
  <c r="H1436" i="1"/>
  <c r="G1437" i="1"/>
  <c r="H1437" i="1"/>
  <c r="G1438" i="1"/>
  <c r="H1438" i="1"/>
  <c r="G1439" i="1"/>
  <c r="H1439" i="1"/>
  <c r="G1440" i="1"/>
  <c r="H1440" i="1"/>
  <c r="G1441" i="1"/>
  <c r="H1441" i="1"/>
  <c r="G1442" i="1"/>
  <c r="H1442" i="1"/>
  <c r="G1443" i="1"/>
  <c r="H1443" i="1"/>
  <c r="G1444" i="1"/>
  <c r="H1444" i="1"/>
  <c r="G1445" i="1"/>
  <c r="H1445" i="1"/>
  <c r="G1446" i="1"/>
  <c r="H1446" i="1"/>
  <c r="G1447" i="1"/>
  <c r="H1447" i="1"/>
  <c r="G1448" i="1"/>
  <c r="H1448" i="1"/>
  <c r="G1449" i="1"/>
  <c r="H1449" i="1"/>
  <c r="G1450" i="1"/>
  <c r="H1450" i="1"/>
  <c r="G1451" i="1"/>
  <c r="H1451" i="1"/>
  <c r="G1452" i="1"/>
  <c r="H1452" i="1"/>
  <c r="G1453" i="1"/>
  <c r="H1453" i="1"/>
  <c r="G1454" i="1"/>
  <c r="H1454" i="1"/>
  <c r="G1455" i="1"/>
  <c r="H1455" i="1"/>
  <c r="G1456" i="1"/>
  <c r="H1456" i="1"/>
  <c r="G1457" i="1"/>
  <c r="H1457" i="1"/>
  <c r="G1458" i="1"/>
  <c r="H1458" i="1"/>
  <c r="G1459" i="1"/>
  <c r="H1459" i="1"/>
  <c r="G1460" i="1"/>
  <c r="H1460" i="1"/>
  <c r="G1461" i="1"/>
  <c r="H1461" i="1"/>
  <c r="G1462" i="1"/>
  <c r="H1462" i="1"/>
  <c r="G1463" i="1"/>
  <c r="H1463" i="1"/>
  <c r="G1464" i="1"/>
  <c r="H1464" i="1"/>
  <c r="G1465" i="1"/>
  <c r="H1465" i="1"/>
  <c r="G1466" i="1"/>
  <c r="H1466" i="1"/>
  <c r="G1467" i="1"/>
  <c r="H1467" i="1"/>
  <c r="G1468" i="1"/>
  <c r="H1468" i="1"/>
  <c r="G1469" i="1"/>
  <c r="H1469" i="1"/>
  <c r="G1470" i="1"/>
  <c r="H1470" i="1"/>
  <c r="G1471" i="1"/>
  <c r="H1471" i="1"/>
  <c r="G1472" i="1"/>
  <c r="H1472" i="1"/>
  <c r="G1473" i="1"/>
  <c r="H1473" i="1"/>
  <c r="G1474" i="1"/>
  <c r="H1474" i="1"/>
  <c r="G1475" i="1"/>
  <c r="H1475" i="1"/>
  <c r="G1476" i="1"/>
  <c r="H1476" i="1"/>
  <c r="G1477" i="1"/>
  <c r="H1477" i="1"/>
  <c r="G1478" i="1"/>
  <c r="H1478" i="1"/>
  <c r="G1479" i="1"/>
  <c r="H1479" i="1"/>
  <c r="G1480" i="1"/>
  <c r="H1480" i="1"/>
  <c r="G1481" i="1"/>
  <c r="H1481" i="1"/>
  <c r="G1482" i="1"/>
  <c r="H1482" i="1"/>
  <c r="G1483" i="1"/>
  <c r="H1483" i="1"/>
  <c r="G1484" i="1"/>
  <c r="H1484" i="1"/>
  <c r="G1485" i="1"/>
  <c r="H1485" i="1"/>
  <c r="G1486" i="1"/>
  <c r="H1486" i="1"/>
  <c r="G1487" i="1"/>
  <c r="H1487" i="1"/>
  <c r="G1488" i="1"/>
  <c r="H1488" i="1"/>
  <c r="G1489" i="1"/>
  <c r="H1489" i="1"/>
  <c r="G1490" i="1"/>
  <c r="H1490" i="1"/>
  <c r="G1491" i="1"/>
  <c r="H1491" i="1"/>
  <c r="G1492" i="1"/>
  <c r="H1492" i="1"/>
  <c r="G1493" i="1"/>
  <c r="H1493" i="1"/>
  <c r="G1494" i="1"/>
  <c r="H1494" i="1"/>
  <c r="G1495" i="1"/>
  <c r="H1495" i="1"/>
  <c r="G1496" i="1"/>
  <c r="H1496" i="1"/>
  <c r="G1497" i="1"/>
  <c r="H1497" i="1"/>
  <c r="G1498" i="1"/>
  <c r="H1498" i="1"/>
  <c r="G1499" i="1"/>
  <c r="H1499" i="1"/>
  <c r="G1500" i="1"/>
  <c r="H1500" i="1"/>
</calcChain>
</file>

<file path=xl/comments1.xml><?xml version="1.0" encoding="utf-8"?>
<comments xmlns="http://schemas.openxmlformats.org/spreadsheetml/2006/main">
  <authors>
    <author>Avadhut Yadav</author>
  </authors>
  <commentList>
    <comment ref="B124" authorId="0" shapeId="0">
      <text>
        <r>
          <rPr>
            <b/>
            <sz val="9"/>
            <color indexed="81"/>
            <rFont val="Tahoma"/>
            <family val="2"/>
          </rPr>
          <t>Avadhut Yadav:</t>
        </r>
        <r>
          <rPr>
            <sz val="9"/>
            <color indexed="81"/>
            <rFont val="Tahoma"/>
            <family val="2"/>
          </rPr>
          <t xml:space="preserve">
updated in EMT</t>
        </r>
      </text>
    </comment>
  </commentList>
</comments>
</file>

<file path=xl/sharedStrings.xml><?xml version="1.0" encoding="utf-8"?>
<sst xmlns="http://schemas.openxmlformats.org/spreadsheetml/2006/main" count="1170" uniqueCount="367">
  <si>
    <t>Account</t>
  </si>
  <si>
    <t>Func</t>
  </si>
  <si>
    <t>Anl</t>
  </si>
  <si>
    <t>030031041</t>
  </si>
  <si>
    <t>Entered DR</t>
  </si>
  <si>
    <t>Entered CR</t>
  </si>
  <si>
    <t>Account Number</t>
  </si>
  <si>
    <t>AnAL</t>
  </si>
  <si>
    <t>V</t>
  </si>
  <si>
    <t>R</t>
  </si>
  <si>
    <t>030001990</t>
  </si>
  <si>
    <t>037000000</t>
  </si>
  <si>
    <t>040000009</t>
  </si>
  <si>
    <t>040008001</t>
  </si>
  <si>
    <t>044000000</t>
  </si>
  <si>
    <t>084003200</t>
  </si>
  <si>
    <t>086000000</t>
  </si>
  <si>
    <t>GEII Offset A/C</t>
  </si>
  <si>
    <t>GEGS Offset A/C</t>
  </si>
  <si>
    <t xml:space="preserve"> GEII Legal Entity</t>
  </si>
  <si>
    <t>GEGS Legal Entity</t>
  </si>
  <si>
    <t>GEII ME</t>
  </si>
  <si>
    <t>GEGS ME</t>
  </si>
  <si>
    <t>Line Description</t>
  </si>
  <si>
    <t>Ensure the below captures all of the A/C numbers</t>
  </si>
  <si>
    <t>Accounted DR</t>
  </si>
  <si>
    <t>Accounted CR</t>
  </si>
  <si>
    <t>MARS IME</t>
  </si>
  <si>
    <t>MARS ILE</t>
  </si>
  <si>
    <t>000320</t>
  </si>
  <si>
    <t>Transactional Amount</t>
  </si>
  <si>
    <t>4GR</t>
  </si>
  <si>
    <t>PW1414</t>
  </si>
  <si>
    <t>2DE</t>
  </si>
  <si>
    <t>4ZV</t>
  </si>
  <si>
    <t>6QC</t>
  </si>
  <si>
    <t>6QF</t>
  </si>
  <si>
    <t>6QG</t>
  </si>
  <si>
    <t>2JE</t>
  </si>
  <si>
    <t>4WF</t>
  </si>
  <si>
    <t>5WF</t>
  </si>
  <si>
    <t>6CS</t>
  </si>
  <si>
    <t>6JA</t>
  </si>
  <si>
    <t>6TH</t>
  </si>
  <si>
    <t>6YN</t>
  </si>
  <si>
    <t>CD1</t>
  </si>
  <si>
    <t>2LP</t>
  </si>
  <si>
    <t>2MV</t>
  </si>
  <si>
    <t>2SK</t>
  </si>
  <si>
    <t>3ZV</t>
  </si>
  <si>
    <t>4AE</t>
  </si>
  <si>
    <t>4CJ</t>
  </si>
  <si>
    <t>4YU</t>
  </si>
  <si>
    <t>5EL</t>
  </si>
  <si>
    <t>6BR</t>
  </si>
  <si>
    <t>6BT</t>
  </si>
  <si>
    <t>6HE</t>
  </si>
  <si>
    <t>7GV</t>
  </si>
  <si>
    <t>7MA</t>
  </si>
  <si>
    <t>7C1</t>
  </si>
  <si>
    <t>4DO</t>
  </si>
  <si>
    <t>6GQ</t>
  </si>
  <si>
    <t>3UB</t>
  </si>
  <si>
    <t>2BE</t>
  </si>
  <si>
    <t>2IK</t>
  </si>
  <si>
    <t>2IL</t>
  </si>
  <si>
    <t>2IS</t>
  </si>
  <si>
    <t>2KD</t>
  </si>
  <si>
    <t>2ML</t>
  </si>
  <si>
    <t>2SH</t>
  </si>
  <si>
    <t>3TY</t>
  </si>
  <si>
    <t>3UH</t>
  </si>
  <si>
    <t>3UI</t>
  </si>
  <si>
    <t>3UO</t>
  </si>
  <si>
    <t>3UW</t>
  </si>
  <si>
    <t>3VQ</t>
  </si>
  <si>
    <t>4CG</t>
  </si>
  <si>
    <t>4CI</t>
  </si>
  <si>
    <t>4FJ</t>
  </si>
  <si>
    <t>5CG</t>
  </si>
  <si>
    <t>6CB</t>
  </si>
  <si>
    <t>7GW</t>
  </si>
  <si>
    <t>7HA</t>
  </si>
  <si>
    <t>7HC</t>
  </si>
  <si>
    <t>7YM</t>
  </si>
  <si>
    <t>5BB</t>
  </si>
  <si>
    <t>JA3</t>
  </si>
  <si>
    <t>5CM</t>
  </si>
  <si>
    <t>3YG</t>
  </si>
  <si>
    <t>4SO</t>
  </si>
  <si>
    <t>4SQ</t>
  </si>
  <si>
    <t>6HK</t>
  </si>
  <si>
    <t>9WR</t>
  </si>
  <si>
    <t>5T1</t>
  </si>
  <si>
    <t>1EE</t>
  </si>
  <si>
    <t>6AV</t>
  </si>
  <si>
    <t>6CF</t>
  </si>
  <si>
    <t>9AV</t>
  </si>
  <si>
    <t>2SQ</t>
  </si>
  <si>
    <t>2TL</t>
  </si>
  <si>
    <t>4WK</t>
  </si>
  <si>
    <t>XW4</t>
  </si>
  <si>
    <t>6RO</t>
  </si>
  <si>
    <t>4C1</t>
  </si>
  <si>
    <t>4MA</t>
  </si>
  <si>
    <t>4YL</t>
  </si>
  <si>
    <t>3UK</t>
  </si>
  <si>
    <t>9WT</t>
  </si>
  <si>
    <t>6BB</t>
  </si>
  <si>
    <t>7KX</t>
  </si>
  <si>
    <t>9WA</t>
  </si>
  <si>
    <t>2TK</t>
  </si>
  <si>
    <t>4CO</t>
  </si>
  <si>
    <t>S6W</t>
  </si>
  <si>
    <t>S4Q</t>
  </si>
  <si>
    <t>S6X</t>
  </si>
  <si>
    <t>S6Y</t>
  </si>
  <si>
    <t>S6Z</t>
  </si>
  <si>
    <t>S1R</t>
  </si>
  <si>
    <t>S36</t>
  </si>
  <si>
    <t>S90</t>
  </si>
  <si>
    <t>S03</t>
  </si>
  <si>
    <t>S7C</t>
  </si>
  <si>
    <t>S76</t>
  </si>
  <si>
    <t>S91</t>
  </si>
  <si>
    <t>S62</t>
  </si>
  <si>
    <t>S99</t>
  </si>
  <si>
    <t>S2T</t>
  </si>
  <si>
    <t>S1S</t>
  </si>
  <si>
    <t>S08</t>
  </si>
  <si>
    <t>S17</t>
  </si>
  <si>
    <t>S4E</t>
  </si>
  <si>
    <t>S5X</t>
  </si>
  <si>
    <t>S5U</t>
  </si>
  <si>
    <t>S09</t>
  </si>
  <si>
    <t>S1G</t>
  </si>
  <si>
    <t>S28</t>
  </si>
  <si>
    <t>S02</t>
  </si>
  <si>
    <t>S32</t>
  </si>
  <si>
    <t>S4P</t>
  </si>
  <si>
    <t>S35</t>
  </si>
  <si>
    <t>S1P</t>
  </si>
  <si>
    <t>S26</t>
  </si>
  <si>
    <t>S22</t>
  </si>
  <si>
    <t>S27</t>
  </si>
  <si>
    <t>S2S</t>
  </si>
  <si>
    <t>S2Q</t>
  </si>
  <si>
    <t>S3D</t>
  </si>
  <si>
    <t>S29</t>
  </si>
  <si>
    <t>S3C</t>
  </si>
  <si>
    <t>S33</t>
  </si>
  <si>
    <t>S3B</t>
  </si>
  <si>
    <t>G2T</t>
  </si>
  <si>
    <t>S2N</t>
  </si>
  <si>
    <t>S43</t>
  </si>
  <si>
    <t>S2O</t>
  </si>
  <si>
    <t>S89</t>
  </si>
  <si>
    <t>S3G</t>
  </si>
  <si>
    <t>G85</t>
  </si>
  <si>
    <t>S1F</t>
  </si>
  <si>
    <t>S97</t>
  </si>
  <si>
    <t>S07</t>
  </si>
  <si>
    <t>G28</t>
  </si>
  <si>
    <t>G48</t>
  </si>
  <si>
    <t>G79</t>
  </si>
  <si>
    <t>S1W</t>
  </si>
  <si>
    <t>S45</t>
  </si>
  <si>
    <t>S7O</t>
  </si>
  <si>
    <t>S5Z</t>
  </si>
  <si>
    <t>S8O</t>
  </si>
  <si>
    <t>S60</t>
  </si>
  <si>
    <t>S8R</t>
  </si>
  <si>
    <t>S87</t>
  </si>
  <si>
    <t>S49</t>
  </si>
  <si>
    <t>S5K</t>
  </si>
  <si>
    <t>S69</t>
  </si>
  <si>
    <t>S6G</t>
  </si>
  <si>
    <t>S8B</t>
  </si>
  <si>
    <t>S4C</t>
  </si>
  <si>
    <t>S6H</t>
  </si>
  <si>
    <t>S6V</t>
  </si>
  <si>
    <t>G2F</t>
  </si>
  <si>
    <t>G88</t>
  </si>
  <si>
    <t>S7V</t>
  </si>
  <si>
    <t>S2Y</t>
  </si>
  <si>
    <t>S77</t>
  </si>
  <si>
    <t>S1O</t>
  </si>
  <si>
    <t>S4J</t>
  </si>
  <si>
    <t>S8N</t>
  </si>
  <si>
    <t>G69</t>
  </si>
  <si>
    <t>G2W</t>
  </si>
  <si>
    <t>2VA</t>
  </si>
  <si>
    <t>4WM</t>
  </si>
  <si>
    <t>4WL</t>
  </si>
  <si>
    <t>4WJ</t>
  </si>
  <si>
    <t>4YM</t>
  </si>
  <si>
    <t>2FJ</t>
  </si>
  <si>
    <t>TCR</t>
  </si>
  <si>
    <t>TCU</t>
  </si>
  <si>
    <t>TCT</t>
  </si>
  <si>
    <t>DPR</t>
  </si>
  <si>
    <t>DQT</t>
  </si>
  <si>
    <t>DNT</t>
  </si>
  <si>
    <t>DOP</t>
  </si>
  <si>
    <t>DOW</t>
  </si>
  <si>
    <t>DOK</t>
  </si>
  <si>
    <t>OLD ME</t>
  </si>
  <si>
    <t>NEW ME</t>
  </si>
  <si>
    <t>OLD LE</t>
  </si>
  <si>
    <t>NEW LE</t>
  </si>
  <si>
    <t>IF1003</t>
  </si>
  <si>
    <t>000296</t>
  </si>
  <si>
    <t>PW1432</t>
  </si>
  <si>
    <t>PWGINP</t>
  </si>
  <si>
    <t>ZCT</t>
  </si>
  <si>
    <t>6BD</t>
  </si>
  <si>
    <t>3UL</t>
  </si>
  <si>
    <t>4VN</t>
  </si>
  <si>
    <t>4VO</t>
  </si>
  <si>
    <t>9WO</t>
  </si>
  <si>
    <t>CD2</t>
  </si>
  <si>
    <t>TBG</t>
  </si>
  <si>
    <t>TBA</t>
  </si>
  <si>
    <t>M3</t>
  </si>
  <si>
    <t>AF1</t>
  </si>
  <si>
    <t>M4</t>
  </si>
  <si>
    <t>AF2</t>
  </si>
  <si>
    <t>M6</t>
  </si>
  <si>
    <t>AF3</t>
  </si>
  <si>
    <t>GEII MARS ILE</t>
  </si>
  <si>
    <t>GEII MARS IME</t>
  </si>
  <si>
    <t>GEGS MARS ILE</t>
  </si>
  <si>
    <t>GEGS MARS IME</t>
  </si>
  <si>
    <t xml:space="preserve">MARS ILE </t>
  </si>
  <si>
    <t>JAN'17 - MAR'17 Sputnik Trailing Cost Reclass ME to ME, MR flag excluded from ICAM</t>
  </si>
  <si>
    <t>For Prelim Calc</t>
  </si>
  <si>
    <t>SD01RY</t>
  </si>
  <si>
    <t>SD0KL8</t>
  </si>
  <si>
    <t>SD01TU</t>
  </si>
  <si>
    <t>SD0KM8</t>
  </si>
  <si>
    <t>CS1</t>
  </si>
  <si>
    <t>TAH</t>
  </si>
  <si>
    <t>SD01TX</t>
  </si>
  <si>
    <t>SD0KM9</t>
  </si>
  <si>
    <t>SD01N3</t>
  </si>
  <si>
    <t>SD0KL4</t>
  </si>
  <si>
    <t>SD01RO</t>
  </si>
  <si>
    <t>SD0KM7</t>
  </si>
  <si>
    <t>SD09G5</t>
  </si>
  <si>
    <t>SD0KN1</t>
  </si>
  <si>
    <t>SD00A1</t>
  </si>
  <si>
    <t>SD0L21</t>
  </si>
  <si>
    <t>SD01RZ</t>
  </si>
  <si>
    <t>SD0KL9</t>
  </si>
  <si>
    <t>SD08Y5</t>
  </si>
  <si>
    <t>SD0KM0</t>
  </si>
  <si>
    <t>SD07O2</t>
  </si>
  <si>
    <t>SD0KN3</t>
  </si>
  <si>
    <t>SD01OH</t>
  </si>
  <si>
    <t>SD0KN4</t>
  </si>
  <si>
    <t>SD01OM</t>
  </si>
  <si>
    <t>SD0KN5</t>
  </si>
  <si>
    <t>SD039F</t>
  </si>
  <si>
    <t>SD0KM5</t>
  </si>
  <si>
    <t>TBF</t>
  </si>
  <si>
    <t>SD0B12</t>
  </si>
  <si>
    <t>SD0LD9</t>
  </si>
  <si>
    <t>SD042E</t>
  </si>
  <si>
    <t>CS2</t>
  </si>
  <si>
    <t>TBH</t>
  </si>
  <si>
    <t>SD01RQ</t>
  </si>
  <si>
    <t>SD0KN0</t>
  </si>
  <si>
    <t>4IP</t>
  </si>
  <si>
    <t>DEU</t>
  </si>
  <si>
    <t>SD01OW</t>
  </si>
  <si>
    <t>SD0M19</t>
  </si>
  <si>
    <t>5IP</t>
  </si>
  <si>
    <t>DDY</t>
  </si>
  <si>
    <t>6AZ</t>
  </si>
  <si>
    <t>DEF</t>
  </si>
  <si>
    <t>5AZ</t>
  </si>
  <si>
    <t>DFQ</t>
  </si>
  <si>
    <t>7RH</t>
  </si>
  <si>
    <t>DDE</t>
  </si>
  <si>
    <t>5RH</t>
  </si>
  <si>
    <t>DFV</t>
  </si>
  <si>
    <t>7YV</t>
  </si>
  <si>
    <t>DDT</t>
  </si>
  <si>
    <t>5YV</t>
  </si>
  <si>
    <t>DFW</t>
  </si>
  <si>
    <t>PP4</t>
  </si>
  <si>
    <t>DFE</t>
  </si>
  <si>
    <t>RK4</t>
  </si>
  <si>
    <t>DER</t>
  </si>
  <si>
    <t>RK5</t>
  </si>
  <si>
    <t>DES</t>
  </si>
  <si>
    <t>2RK</t>
  </si>
  <si>
    <t>DEP</t>
  </si>
  <si>
    <t>7RJ</t>
  </si>
  <si>
    <t>DGA</t>
  </si>
  <si>
    <t>9YV</t>
  </si>
  <si>
    <t>DDR</t>
  </si>
  <si>
    <t>1BP</t>
  </si>
  <si>
    <t>DDB</t>
  </si>
  <si>
    <t>7BJ</t>
  </si>
  <si>
    <t>DDH</t>
  </si>
  <si>
    <t>5BJ</t>
  </si>
  <si>
    <t>DFS</t>
  </si>
  <si>
    <t>7HT</t>
  </si>
  <si>
    <t>DDF</t>
  </si>
  <si>
    <t>5HT</t>
  </si>
  <si>
    <t>DFT</t>
  </si>
  <si>
    <t>6NX</t>
  </si>
  <si>
    <t>DEI</t>
  </si>
  <si>
    <t>1NP</t>
  </si>
  <si>
    <t>DFR</t>
  </si>
  <si>
    <t>SD07A2</t>
  </si>
  <si>
    <t>SD0MM7</t>
  </si>
  <si>
    <t>SD01NM</t>
  </si>
  <si>
    <t>SD0MN6</t>
  </si>
  <si>
    <t>SD08P6</t>
  </si>
  <si>
    <t>SD0KM3</t>
  </si>
  <si>
    <t>SD01OJ</t>
  </si>
  <si>
    <t>SD0KM4</t>
  </si>
  <si>
    <t>SD01SF</t>
  </si>
  <si>
    <t>SD0KL5</t>
  </si>
  <si>
    <t>DOI</t>
  </si>
  <si>
    <t>SD07E0</t>
  </si>
  <si>
    <t>SD0KQ9</t>
  </si>
  <si>
    <t>SD0627</t>
  </si>
  <si>
    <t>SD0KL7</t>
  </si>
  <si>
    <t>5T2</t>
  </si>
  <si>
    <t>DLA</t>
  </si>
  <si>
    <t>SD0941</t>
  </si>
  <si>
    <t>SD0KM1</t>
  </si>
  <si>
    <t>3Z1</t>
  </si>
  <si>
    <t>NA</t>
  </si>
  <si>
    <t>SD09J8</t>
  </si>
  <si>
    <t>3Z2</t>
  </si>
  <si>
    <t>TEA</t>
  </si>
  <si>
    <t>SD0MM9</t>
  </si>
  <si>
    <t>3Z5</t>
  </si>
  <si>
    <t>TEB</t>
  </si>
  <si>
    <t>7ZA</t>
  </si>
  <si>
    <t>TFK</t>
  </si>
  <si>
    <t>2SP</t>
  </si>
  <si>
    <t>DPY</t>
  </si>
  <si>
    <t>5DV</t>
  </si>
  <si>
    <t>DPV</t>
  </si>
  <si>
    <t>4MB</t>
  </si>
  <si>
    <t>DQS</t>
  </si>
  <si>
    <t>XW8</t>
  </si>
  <si>
    <t>DRE</t>
  </si>
  <si>
    <t>XX8</t>
  </si>
  <si>
    <t>DOR</t>
  </si>
  <si>
    <t>6CL</t>
  </si>
  <si>
    <t>TDY</t>
  </si>
  <si>
    <t>SD00B0</t>
  </si>
  <si>
    <t>4BG</t>
  </si>
  <si>
    <t>DPU</t>
  </si>
  <si>
    <t>KXW</t>
  </si>
  <si>
    <t>DPT</t>
  </si>
  <si>
    <t>DOJ</t>
  </si>
  <si>
    <t>4BV</t>
  </si>
  <si>
    <t>DXR</t>
  </si>
  <si>
    <t>901220003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</si>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</sst>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b/>
      <sz val="10"/>
      <color rgb="FF48648C"/>
      <name val="Tahoma"/>
      <family val="2"/>
    </font>
    <font>
      <b/>
      <sz val="8"/>
      <color rgb="FF48648C"/>
      <name val="Tahoma"/>
      <family val="2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2" tint="-0.74999237037263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A3C2D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8" fillId="0" borderId="0"/>
  </cellStyleXfs>
  <cellXfs count="73">
    <xf numFmtId="0" fontId="0" fillId="0" borderId="0" xfId="0"/>
    <xf numFmtId="0" fontId="0" fillId="3" borderId="2" xfId="0" applyFill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0" fillId="5" borderId="0" xfId="0" applyFill="1"/>
    <xf numFmtId="0" fontId="0" fillId="0" borderId="0" xfId="0" applyFill="1" applyAlignment="1" applyProtection="1">
      <alignment horizontal="center"/>
      <protection locked="0"/>
    </xf>
    <xf numFmtId="0" fontId="0" fillId="6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 applyProtection="1">
      <alignment horizontal="center"/>
      <protection locked="0"/>
    </xf>
    <xf numFmtId="49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Fill="1"/>
    <xf numFmtId="49" fontId="0" fillId="0" borderId="0" xfId="0" quotePrefix="1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Fill="1" applyAlignment="1" applyProtection="1">
      <alignment horizontal="center"/>
      <protection locked="0"/>
    </xf>
    <xf numFmtId="49" fontId="0" fillId="0" borderId="3" xfId="0" applyNumberFormat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</xf>
    <xf numFmtId="0" fontId="5" fillId="7" borderId="2" xfId="0" applyFont="1" applyFill="1" applyBorder="1" applyAlignment="1" applyProtection="1">
      <alignment horizontal="center"/>
    </xf>
    <xf numFmtId="43" fontId="0" fillId="0" borderId="0" xfId="1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8" borderId="2" xfId="0" quotePrefix="1" applyFill="1" applyBorder="1" applyAlignment="1" applyProtection="1">
      <alignment horizontal="right"/>
      <protection locked="0"/>
    </xf>
    <xf numFmtId="0" fontId="0" fillId="8" borderId="2" xfId="0" applyFill="1" applyBorder="1" applyAlignment="1" applyProtection="1">
      <alignment horizontal="right"/>
      <protection locked="0"/>
    </xf>
    <xf numFmtId="0" fontId="7" fillId="0" borderId="2" xfId="0" applyFont="1" applyFill="1" applyBorder="1" applyAlignment="1">
      <alignment horizontal="center"/>
    </xf>
    <xf numFmtId="0" fontId="7" fillId="0" borderId="2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quotePrefix="1" applyFont="1" applyFill="1" applyBorder="1" applyAlignment="1">
      <alignment horizontal="center"/>
    </xf>
    <xf numFmtId="0" fontId="0" fillId="0" borderId="0" xfId="0" quotePrefix="1"/>
    <xf numFmtId="0" fontId="0" fillId="10" borderId="0" xfId="0" applyFill="1"/>
    <xf numFmtId="0" fontId="0" fillId="0" borderId="0" xfId="0" applyAlignment="1"/>
    <xf numFmtId="0" fontId="0" fillId="9" borderId="2" xfId="0" quotePrefix="1" applyFill="1" applyBorder="1" applyAlignment="1" applyProtection="1">
      <alignment horizontal="right"/>
      <protection locked="0"/>
    </xf>
    <xf numFmtId="0" fontId="0" fillId="3" borderId="2" xfId="0" applyFill="1" applyBorder="1" applyAlignment="1" applyProtection="1">
      <alignment horizontal="left"/>
      <protection locked="0"/>
    </xf>
    <xf numFmtId="44" fontId="0" fillId="0" borderId="0" xfId="0" applyNumberFormat="1" applyFill="1" applyBorder="1" applyAlignment="1">
      <alignment horizontal="center"/>
    </xf>
    <xf numFmtId="0" fontId="0" fillId="0" borderId="2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2" xfId="0" applyFont="1" applyBorder="1" applyAlignment="1">
      <alignment horizontal="left" vertical="top"/>
    </xf>
    <xf numFmtId="43" fontId="0" fillId="0" borderId="0" xfId="0" applyNumberFormat="1" applyFill="1" applyBorder="1" applyAlignment="1">
      <alignment horizontal="center"/>
    </xf>
    <xf numFmtId="49" fontId="6" fillId="0" borderId="0" xfId="0" applyNumberFormat="1" applyFont="1" applyFill="1" applyBorder="1" applyAlignment="1">
      <alignment horizontal="center"/>
    </xf>
    <xf numFmtId="0" fontId="0" fillId="4" borderId="0" xfId="0" applyFill="1" applyAlignment="1" applyProtection="1">
      <alignment horizontal="center"/>
    </xf>
    <xf numFmtId="0" fontId="3" fillId="3" borderId="0" xfId="0" applyFont="1" applyFill="1" applyAlignment="1" applyProtection="1">
      <alignment horizontal="left"/>
    </xf>
    <xf numFmtId="49" fontId="0" fillId="4" borderId="0" xfId="0" applyNumberFormat="1" applyFill="1" applyAlignment="1" applyProtection="1">
      <alignment horizontal="center"/>
    </xf>
    <xf numFmtId="49" fontId="6" fillId="12" borderId="1" xfId="0" applyNumberFormat="1" applyFont="1" applyFill="1" applyBorder="1" applyAlignment="1" applyProtection="1">
      <alignment horizontal="center" wrapText="1"/>
    </xf>
    <xf numFmtId="49" fontId="6" fillId="12" borderId="4" xfId="0" applyNumberFormat="1" applyFont="1" applyFill="1" applyBorder="1" applyAlignment="1" applyProtection="1">
      <alignment horizontal="center" wrapText="1"/>
    </xf>
    <xf numFmtId="0" fontId="6" fillId="9" borderId="1" xfId="0" applyFont="1" applyFill="1" applyBorder="1" applyAlignment="1" applyProtection="1">
      <alignment horizontal="center" wrapText="1"/>
    </xf>
    <xf numFmtId="0" fontId="6" fillId="9" borderId="4" xfId="0" applyFont="1" applyFill="1" applyBorder="1" applyAlignment="1" applyProtection="1">
      <alignment horizontal="center" wrapText="1"/>
    </xf>
    <xf numFmtId="0" fontId="6" fillId="12" borderId="1" xfId="0" applyFont="1" applyFill="1" applyBorder="1" applyAlignment="1" applyProtection="1">
      <alignment horizontal="center" wrapText="1"/>
    </xf>
    <xf numFmtId="0" fontId="6" fillId="12" borderId="4" xfId="0" applyFont="1" applyFill="1" applyBorder="1" applyAlignment="1" applyProtection="1">
      <alignment horizontal="center" wrapText="1"/>
    </xf>
    <xf numFmtId="49" fontId="6" fillId="9" borderId="1" xfId="0" applyNumberFormat="1" applyFont="1" applyFill="1" applyBorder="1" applyAlignment="1" applyProtection="1">
      <alignment horizontal="center" wrapText="1"/>
    </xf>
    <xf numFmtId="49" fontId="6" fillId="9" borderId="4" xfId="0" applyNumberFormat="1" applyFont="1" applyFill="1" applyBorder="1" applyAlignment="1" applyProtection="1">
      <alignment horizontal="center" wrapText="1"/>
    </xf>
    <xf numFmtId="0" fontId="6" fillId="11" borderId="5" xfId="0" applyFont="1" applyFill="1" applyBorder="1" applyAlignment="1" applyProtection="1">
      <alignment horizontal="center" wrapText="1"/>
    </xf>
    <xf numFmtId="0" fontId="6" fillId="11" borderId="0" xfId="0" applyFont="1" applyFill="1" applyBorder="1" applyAlignment="1" applyProtection="1">
      <alignment horizontal="center" wrapText="1"/>
    </xf>
    <xf numFmtId="49" fontId="6" fillId="4" borderId="1" xfId="0" applyNumberFormat="1" applyFont="1" applyFill="1" applyBorder="1" applyAlignment="1" applyProtection="1">
      <alignment horizontal="center" wrapText="1"/>
    </xf>
    <xf numFmtId="49" fontId="6" fillId="4" borderId="4" xfId="0" applyNumberFormat="1" applyFont="1" applyFill="1" applyBorder="1" applyAlignment="1" applyProtection="1">
      <alignment horizontal="center" wrapText="1"/>
    </xf>
    <xf numFmtId="0" fontId="6" fillId="4" borderId="1" xfId="0" applyFont="1" applyFill="1" applyBorder="1" applyAlignment="1" applyProtection="1">
      <alignment horizontal="center" wrapText="1"/>
    </xf>
    <xf numFmtId="0" fontId="6" fillId="4" borderId="4" xfId="0" applyFont="1" applyFill="1" applyBorder="1" applyAlignment="1" applyProtection="1">
      <alignment horizontal="center" wrapText="1"/>
    </xf>
    <xf numFmtId="0" fontId="1" fillId="13" borderId="1" xfId="0" applyFont="1" applyFill="1" applyBorder="1" applyAlignment="1" applyProtection="1">
      <alignment horizontal="center"/>
    </xf>
    <xf numFmtId="0" fontId="1" fillId="13" borderId="2" xfId="0" applyFont="1" applyFill="1" applyBorder="1" applyAlignment="1" applyProtection="1">
      <alignment horizontal="center" wrapText="1"/>
    </xf>
    <xf numFmtId="0" fontId="2" fillId="2" borderId="2" xfId="0" applyFont="1" applyFill="1" applyBorder="1" applyAlignment="1" applyProtection="1">
      <alignment horizontal="center"/>
    </xf>
    <xf numFmtId="0" fontId="2" fillId="2" borderId="7" xfId="0" applyFont="1" applyFill="1" applyBorder="1" applyAlignment="1" applyProtection="1">
      <alignment horizontal="center"/>
    </xf>
    <xf numFmtId="0" fontId="2" fillId="2" borderId="8" xfId="0" applyFont="1" applyFill="1" applyBorder="1" applyAlignment="1" applyProtection="1">
      <alignment horizontal="center"/>
    </xf>
    <xf numFmtId="0" fontId="2" fillId="2" borderId="9" xfId="0" applyFont="1" applyFill="1" applyBorder="1" applyAlignment="1" applyProtection="1">
      <alignment horizontal="center"/>
    </xf>
    <xf numFmtId="0" fontId="1" fillId="13" borderId="10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 wrapText="1"/>
    </xf>
    <xf numFmtId="0" fontId="2" fillId="2" borderId="1" xfId="0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2" fillId="13" borderId="11" xfId="0" applyFont="1" applyFill="1" applyBorder="1" applyAlignment="1" applyProtection="1">
      <alignment horizontal="center"/>
    </xf>
    <xf numFmtId="0" fontId="2" fillId="13" borderId="2" xfId="0" applyFont="1" applyFill="1" applyBorder="1" applyAlignment="1" applyProtection="1">
      <alignment horizontal="center"/>
    </xf>
  </cellXfs>
  <cellStyles count="3">
    <cellStyle name="Comma" xfId="1" builtinId="3"/>
    <cellStyle name="Normal" xfId="0" builtinId="0"/>
    <cellStyle name="Normal 3" xfId="2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4</xdr:row>
      <xdr:rowOff>95250</xdr:rowOff>
    </xdr:from>
    <xdr:to>
      <xdr:col>18</xdr:col>
      <xdr:colOff>476250</xdr:colOff>
      <xdr:row>41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6225" y="857250"/>
          <a:ext cx="11172825" cy="7067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400" b="0"/>
            <a:t>1. Yellow highlighted cells &amp; column fields require</a:t>
          </a:r>
          <a:r>
            <a:rPr lang="en-US" sz="1400" b="0" baseline="0"/>
            <a:t> input data to be updated. </a:t>
          </a:r>
        </a:p>
        <a:p>
          <a:pPr algn="l"/>
          <a:endParaRPr lang="en-US" sz="1400" b="0" baseline="0"/>
        </a:p>
        <a:p>
          <a:pPr algn="l"/>
          <a:endParaRPr lang="en-US" sz="1400" b="0" baseline="0"/>
        </a:p>
        <a:p>
          <a:pPr algn="l"/>
          <a:endParaRPr lang="en-US" sz="1400" b="0" baseline="0"/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2. Click on </a:t>
          </a:r>
          <a:r>
            <a:rPr lang="en-US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Run Data Sheet </a:t>
          </a:r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and once verifying no macro error pops up, move to the next step</a:t>
          </a:r>
          <a:endParaRPr lang="en-US" sz="14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3. Click on </a:t>
          </a:r>
          <a:r>
            <a:rPr lang="en-US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Generate GEII MJE </a:t>
          </a:r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- This populates the data for GEII MJE in a seperate tab</a:t>
          </a:r>
          <a:endParaRPr lang="en-US" sz="14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/>
        </a:p>
        <a:p>
          <a:pPr eaLnBrk="1" fontAlgn="auto" latinLnBrk="0" hangingPunct="1"/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4. Click on </a:t>
          </a:r>
          <a:r>
            <a:rPr lang="en-US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Generate GEGS MJE </a:t>
          </a:r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- This populates the data for GEGS MJE in a seperate tab</a:t>
          </a:r>
        </a:p>
        <a:p>
          <a:pPr algn="l"/>
          <a:endParaRPr lang="en-US" sz="1400" b="1" baseline="0"/>
        </a:p>
        <a:p>
          <a:pPr algn="l"/>
          <a:r>
            <a:rPr lang="en-US" sz="1400" b="0" baseline="0"/>
            <a:t>5. Then, Eventually,clicking on </a:t>
          </a:r>
          <a:r>
            <a:rPr lang="en-US" sz="1400" b="1" baseline="0"/>
            <a:t>'Restore Sheet' </a:t>
          </a:r>
          <a:r>
            <a:rPr lang="en-US" sz="1400" b="0" baseline="0"/>
            <a:t>will restore the sheet back to original settings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a. If you notice any #N/A values in the amber colored cells, that essentially means that the 'Ref_tab' sheet needs to be updated. Macro still works if you manually edit the data in the amber colored cells</a:t>
          </a:r>
          <a:endParaRPr lang="en-US" sz="1400" b="0">
            <a:effectLst/>
          </a:endParaRPr>
        </a:p>
        <a:p>
          <a:pPr algn="l"/>
          <a:endParaRPr lang="en-US" sz="1400" b="1" baseline="0"/>
        </a:p>
        <a:p>
          <a:pPr algn="l"/>
          <a:endParaRPr lang="en-US" sz="1400" b="1"/>
        </a:p>
        <a:p>
          <a:pPr algn="l"/>
          <a:endParaRPr lang="en-US" sz="1400" b="1"/>
        </a:p>
        <a:p>
          <a:pPr algn="l"/>
          <a:endParaRPr lang="en-US" sz="1400" b="1"/>
        </a:p>
        <a:p>
          <a:pPr algn="l"/>
          <a:r>
            <a:rPr lang="en-US" sz="1400" b="0"/>
            <a:t>b. If you</a:t>
          </a:r>
          <a:r>
            <a:rPr lang="en-US" sz="1400" b="0" baseline="0"/>
            <a:t> notice any missing values in column E &amp; F after the account numbers are updated, then that essentially means, the Columns P, Q &amp; R columns of the 'Data Sheet' needs to be updated</a:t>
          </a:r>
        </a:p>
        <a:p>
          <a:pPr algn="l"/>
          <a:endParaRPr lang="en-US" sz="1400" b="0" baseline="0"/>
        </a:p>
        <a:p>
          <a:pPr algn="l"/>
          <a:r>
            <a:rPr lang="en-US" sz="1400" b="0" baseline="0"/>
            <a:t>c. This macro will update the IME &amp; ILE values from the 'Ref_tab'</a:t>
          </a:r>
          <a:endParaRPr lang="en-US" sz="1400" b="0"/>
        </a:p>
      </xdr:txBody>
    </xdr:sp>
    <xdr:clientData/>
  </xdr:twoCellAnchor>
  <xdr:twoCellAnchor editAs="oneCell">
    <xdr:from>
      <xdr:col>1</xdr:col>
      <xdr:colOff>66675</xdr:colOff>
      <xdr:row>6</xdr:row>
      <xdr:rowOff>47625</xdr:rowOff>
    </xdr:from>
    <xdr:to>
      <xdr:col>5</xdr:col>
      <xdr:colOff>542561</xdr:colOff>
      <xdr:row>15</xdr:row>
      <xdr:rowOff>56935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5" y="1190625"/>
          <a:ext cx="2914286" cy="1723810"/>
        </a:xfrm>
        <a:prstGeom prst="rect">
          <a:avLst/>
        </a:prstGeom>
      </xdr:spPr>
    </xdr:pic>
    <xdr:clientData/>
  </xdr:twoCellAnchor>
  <xdr:twoCellAnchor editAs="oneCell">
    <xdr:from>
      <xdr:col>6</xdr:col>
      <xdr:colOff>361950</xdr:colOff>
      <xdr:row>6</xdr:row>
      <xdr:rowOff>95251</xdr:rowOff>
    </xdr:from>
    <xdr:to>
      <xdr:col>10</xdr:col>
      <xdr:colOff>133074</xdr:colOff>
      <xdr:row>12</xdr:row>
      <xdr:rowOff>47489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0" y="1238251"/>
          <a:ext cx="2209524" cy="10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504825</xdr:colOff>
      <xdr:row>6</xdr:row>
      <xdr:rowOff>85726</xdr:rowOff>
    </xdr:from>
    <xdr:to>
      <xdr:col>13</xdr:col>
      <xdr:colOff>580787</xdr:colOff>
      <xdr:row>7</xdr:row>
      <xdr:rowOff>104750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0825" y="1228726"/>
          <a:ext cx="1904762" cy="209524"/>
        </a:xfrm>
        <a:prstGeom prst="rect">
          <a:avLst/>
        </a:prstGeom>
      </xdr:spPr>
    </xdr:pic>
    <xdr:clientData/>
  </xdr:twoCellAnchor>
  <xdr:twoCellAnchor editAs="oneCell">
    <xdr:from>
      <xdr:col>10</xdr:col>
      <xdr:colOff>514350</xdr:colOff>
      <xdr:row>9</xdr:row>
      <xdr:rowOff>19051</xdr:rowOff>
    </xdr:from>
    <xdr:to>
      <xdr:col>13</xdr:col>
      <xdr:colOff>552217</xdr:colOff>
      <xdr:row>10</xdr:row>
      <xdr:rowOff>38075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10350" y="1733551"/>
          <a:ext cx="1866667" cy="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30</xdr:row>
      <xdr:rowOff>47626</xdr:rowOff>
    </xdr:from>
    <xdr:to>
      <xdr:col>3</xdr:col>
      <xdr:colOff>466488</xdr:colOff>
      <xdr:row>32</xdr:row>
      <xdr:rowOff>76150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0050" y="5762626"/>
          <a:ext cx="1895238" cy="409524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447675</xdr:colOff>
      <xdr:row>31</xdr:row>
      <xdr:rowOff>1</xdr:rowOff>
    </xdr:from>
    <xdr:to>
      <xdr:col>7</xdr:col>
      <xdr:colOff>504589</xdr:colOff>
      <xdr:row>32</xdr:row>
      <xdr:rowOff>19025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86075" y="5905501"/>
          <a:ext cx="1885714" cy="2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8</xdr:row>
          <xdr:rowOff>28575</xdr:rowOff>
        </xdr:from>
        <xdr:to>
          <xdr:col>12</xdr:col>
          <xdr:colOff>466725</xdr:colOff>
          <xdr:row>9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10</xdr:row>
          <xdr:rowOff>76200</xdr:rowOff>
        </xdr:from>
        <xdr:to>
          <xdr:col>12</xdr:col>
          <xdr:colOff>476250</xdr:colOff>
          <xdr:row>12</xdr:row>
          <xdr:rowOff>142875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14</xdr:row>
          <xdr:rowOff>85725</xdr:rowOff>
        </xdr:from>
        <xdr:to>
          <xdr:col>12</xdr:col>
          <xdr:colOff>695325</xdr:colOff>
          <xdr:row>16</xdr:row>
          <xdr:rowOff>19050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16</xdr:row>
          <xdr:rowOff>180975</xdr:rowOff>
        </xdr:from>
        <xdr:to>
          <xdr:col>12</xdr:col>
          <xdr:colOff>704850</xdr:colOff>
          <xdr:row>18</xdr:row>
          <xdr:rowOff>114300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6</xdr:row>
      <xdr:rowOff>123825</xdr:rowOff>
    </xdr:from>
    <xdr:to>
      <xdr:col>17</xdr:col>
      <xdr:colOff>247651</xdr:colOff>
      <xdr:row>8</xdr:row>
      <xdr:rowOff>123825</xdr:rowOff>
    </xdr:to>
    <xdr:sp macro="[0]!Balident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239001" y="1266825"/>
          <a:ext cx="337185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ysClr val="windowText" lastClr="000000"/>
              </a:solidFill>
              <a:latin typeface="GE Inspira" panose="020F0603030400020203" pitchFamily="34" charset="0"/>
            </a:rPr>
            <a:t>Generate</a:t>
          </a:r>
          <a:r>
            <a:rPr lang="en-US" sz="1600" b="1" baseline="0">
              <a:solidFill>
                <a:sysClr val="windowText" lastClr="000000"/>
              </a:solidFill>
              <a:latin typeface="GE Inspira" panose="020F0603030400020203" pitchFamily="34" charset="0"/>
            </a:rPr>
            <a:t> Total Balance movement</a:t>
          </a:r>
          <a:endParaRPr lang="en-US" sz="1600" b="1">
            <a:solidFill>
              <a:sysClr val="windowText" lastClr="000000"/>
            </a:solidFill>
            <a:latin typeface="GE Inspira" panose="020F0603030400020203" pitchFamily="34" charset="0"/>
          </a:endParaRPr>
        </a:p>
      </xdr:txBody>
    </xdr:sp>
    <xdr:clientData/>
  </xdr:twoCellAnchor>
  <xdr:twoCellAnchor>
    <xdr:from>
      <xdr:col>13</xdr:col>
      <xdr:colOff>180975</xdr:colOff>
      <xdr:row>3</xdr:row>
      <xdr:rowOff>114300</xdr:rowOff>
    </xdr:from>
    <xdr:to>
      <xdr:col>15</xdr:col>
      <xdr:colOff>495300</xdr:colOff>
      <xdr:row>5</xdr:row>
      <xdr:rowOff>104775</xdr:rowOff>
    </xdr:to>
    <xdr:sp macro="[0]!restshe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105775" y="685800"/>
          <a:ext cx="1533525" cy="371475"/>
        </a:xfrm>
        <a:prstGeom prst="roundRect">
          <a:avLst/>
        </a:prstGeom>
        <a:solidFill>
          <a:schemeClr val="accent1">
            <a:lumMod val="20000"/>
            <a:lumOff val="80000"/>
            <a:alpha val="50000"/>
          </a:schemeClr>
        </a:solidFill>
        <a:ln w="1270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ysClr val="windowText" lastClr="000000"/>
              </a:solidFill>
            </a:rPr>
            <a:t> Restore Sheet</a:t>
          </a:r>
        </a:p>
      </xdr:txBody>
    </xdr:sp>
    <xdr:clientData/>
  </xdr:twoCellAnchor>
  <xdr:twoCellAnchor>
    <xdr:from>
      <xdr:col>0</xdr:col>
      <xdr:colOff>133350</xdr:colOff>
      <xdr:row>0</xdr:row>
      <xdr:rowOff>123825</xdr:rowOff>
    </xdr:from>
    <xdr:to>
      <xdr:col>10</xdr:col>
      <xdr:colOff>476250</xdr:colOff>
      <xdr:row>28</xdr:row>
      <xdr:rowOff>28574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33350" y="123825"/>
          <a:ext cx="6438900" cy="523874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Instructions </a:t>
          </a:r>
          <a:r>
            <a:rPr lang="en-US" sz="1400" b="1" baseline="0"/>
            <a:t>:</a:t>
          </a:r>
        </a:p>
        <a:p>
          <a:endParaRPr lang="en-US" sz="1400" baseline="0"/>
        </a:p>
        <a:p>
          <a:r>
            <a:rPr lang="en-US" sz="1400" baseline="0"/>
            <a:t>1. Click on "</a:t>
          </a:r>
          <a:r>
            <a:rPr lang="en-US" sz="1400" i="1" baseline="0"/>
            <a:t>Restore sheet</a:t>
          </a:r>
          <a:r>
            <a:rPr lang="en-US" sz="1400" baseline="0"/>
            <a:t>" .</a:t>
          </a:r>
        </a:p>
        <a:p>
          <a:endParaRPr lang="en-US" sz="1400" baseline="0"/>
        </a:p>
        <a:p>
          <a:r>
            <a:rPr lang="en-US" sz="1400" baseline="0"/>
            <a:t>2. Click on "</a:t>
          </a:r>
          <a:r>
            <a:rPr lang="en-US" sz="1400" i="1" baseline="0"/>
            <a:t>Generate Total Balance Movement</a:t>
          </a:r>
          <a:r>
            <a:rPr lang="en-US" sz="1400" baseline="0"/>
            <a:t>". The macro will prompt you TWICE to select a folder having all the TB files for the months required.</a:t>
          </a:r>
        </a:p>
        <a:p>
          <a:endParaRPr lang="en-US" sz="1400" baseline="0"/>
        </a:p>
        <a:p>
          <a:r>
            <a:rPr lang="en-US" sz="1400" baseline="0"/>
            <a:t>Selecting the folder will generate two tabs - 'Total balance to be moved' to view the total balances account-wise and 'MoM balance movements" to view the month over month balance movements</a:t>
          </a:r>
        </a:p>
        <a:p>
          <a:endParaRPr lang="en-US" sz="1400" baseline="0"/>
        </a:p>
        <a:p>
          <a:endParaRPr lang="en-US" sz="1400" baseline="0"/>
        </a:p>
        <a:p>
          <a:r>
            <a:rPr lang="en-US" sz="1400" b="1" baseline="0"/>
            <a:t>Note: </a:t>
          </a:r>
          <a:r>
            <a:rPr lang="en-US" sz="1400" baseline="0"/>
            <a:t>Ensure all the TB files are kept in a single folder with seperate TB file for each month numbered in order as shown in the screenshot below:</a:t>
          </a:r>
        </a:p>
        <a:p>
          <a:endParaRPr lang="en-US" sz="1400" baseline="0"/>
        </a:p>
        <a:p>
          <a:endParaRPr lang="en-US" sz="1400" baseline="0"/>
        </a:p>
        <a:p>
          <a:endParaRPr lang="en-US" sz="1400" baseline="0"/>
        </a:p>
        <a:p>
          <a:endParaRPr lang="en-US" sz="1400"/>
        </a:p>
      </xdr:txBody>
    </xdr:sp>
    <xdr:clientData/>
  </xdr:twoCellAnchor>
  <xdr:twoCellAnchor editAs="oneCell">
    <xdr:from>
      <xdr:col>0</xdr:col>
      <xdr:colOff>600075</xdr:colOff>
      <xdr:row>17</xdr:row>
      <xdr:rowOff>104776</xdr:rowOff>
    </xdr:from>
    <xdr:to>
      <xdr:col>3</xdr:col>
      <xdr:colOff>361751</xdr:colOff>
      <xdr:row>27</xdr:row>
      <xdr:rowOff>114062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3343276"/>
          <a:ext cx="1590476" cy="19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"/>
  <sheetViews>
    <sheetView topLeftCell="A20" workbookViewId="0">
      <selection activeCell="T30" sqref="T3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AF1500"/>
  <sheetViews>
    <sheetView tabSelected="1" workbookViewId="0">
      <selection activeCell="J11" sqref="J11"/>
    </sheetView>
  </sheetViews>
  <sheetFormatPr defaultRowHeight="15" x14ac:dyDescent="0.25"/>
  <cols>
    <col min="1" max="1" width="2.5703125" style="9" customWidth="1"/>
    <col min="2" max="2" width="9.7109375" style="10" customWidth="1"/>
    <col min="3" max="3" width="16.7109375" style="16" customWidth="1"/>
    <col min="4" max="4" width="16.7109375" style="10" customWidth="1"/>
    <col min="5" max="6" width="5.7109375" style="10" customWidth="1"/>
    <col min="7" max="10" width="16.7109375" style="10" customWidth="1"/>
    <col min="11" max="11" width="1.7109375" style="10" customWidth="1"/>
    <col min="12" max="12" width="15.5703125" style="10" customWidth="1"/>
    <col min="13" max="13" width="12.5703125" style="10" customWidth="1"/>
    <col min="14" max="14" width="1.7109375" style="10" customWidth="1"/>
    <col min="15" max="15" width="2.7109375" style="10" customWidth="1"/>
    <col min="16" max="16" width="16" style="8" bestFit="1" customWidth="1"/>
    <col min="17" max="17" width="5" style="5" customWidth="1"/>
    <col min="18" max="18" width="5.42578125" style="5" customWidth="1"/>
    <col min="19" max="19" width="3.5703125" style="10" customWidth="1"/>
    <col min="20" max="30" width="9.140625" style="10"/>
    <col min="31" max="31" width="17.7109375" style="10" hidden="1" customWidth="1"/>
    <col min="32" max="32" width="9.140625" style="16" hidden="1" customWidth="1"/>
    <col min="33" max="16384" width="9.140625" style="10"/>
  </cols>
  <sheetData>
    <row r="1" spans="1:32" customFormat="1" ht="15" customHeight="1" x14ac:dyDescent="0.25">
      <c r="A1" s="11"/>
      <c r="B1" s="61" t="s">
        <v>366</v>
      </c>
      <c r="C1" s="61" t="s">
        <v>0</v>
      </c>
      <c r="D1" s="62" t="s">
        <v>30</v>
      </c>
      <c r="E1" s="63" t="s">
        <v>1</v>
      </c>
      <c r="F1" s="63" t="s">
        <v>2</v>
      </c>
      <c r="G1" s="64" t="s">
        <v>235</v>
      </c>
      <c r="H1" s="65"/>
      <c r="I1" s="65"/>
      <c r="J1" s="66"/>
      <c r="K1" s="6"/>
      <c r="L1" s="21" t="s">
        <v>17</v>
      </c>
      <c r="M1" s="35" t="s">
        <v>365</v>
      </c>
      <c r="N1" s="6"/>
      <c r="O1" s="45" t="s">
        <v>24</v>
      </c>
      <c r="P1" s="45"/>
      <c r="Q1" s="45"/>
      <c r="R1" s="45"/>
      <c r="S1" s="45"/>
      <c r="AE1" t="s">
        <v>19</v>
      </c>
      <c r="AF1" s="14" t="s">
        <v>211</v>
      </c>
    </row>
    <row r="2" spans="1:32" customFormat="1" ht="15" customHeight="1" x14ac:dyDescent="0.25">
      <c r="A2" s="11"/>
      <c r="B2" s="67"/>
      <c r="C2" s="67"/>
      <c r="D2" s="68"/>
      <c r="E2" s="69"/>
      <c r="F2" s="69"/>
      <c r="G2" s="70" t="s">
        <v>4</v>
      </c>
      <c r="H2" s="70" t="s">
        <v>5</v>
      </c>
      <c r="I2" s="71" t="s">
        <v>25</v>
      </c>
      <c r="J2" s="72" t="s">
        <v>26</v>
      </c>
      <c r="K2" s="6"/>
      <c r="L2" s="22" t="s">
        <v>18</v>
      </c>
      <c r="M2" s="35" t="s">
        <v>365</v>
      </c>
      <c r="N2" s="6"/>
      <c r="P2" s="46" t="s">
        <v>6</v>
      </c>
      <c r="Q2" s="44" t="s">
        <v>1</v>
      </c>
      <c r="R2" s="44" t="s">
        <v>7</v>
      </c>
      <c r="AE2" t="s">
        <v>20</v>
      </c>
      <c r="AF2" s="14" t="s">
        <v>32</v>
      </c>
    </row>
    <row r="3" spans="1:32" customFormat="1" ht="15" customHeight="1" x14ac:dyDescent="0.25">
      <c r="A3" s="11"/>
      <c r="B3" s="11"/>
      <c r="C3" s="43"/>
      <c r="D3" s="42"/>
      <c r="E3" t="str">
        <f t="shared" ref="E3:E12" si="0">IF(ISNA(VLOOKUP(C3,P:Q,2,0)),"",VLOOKUP(C3,P:Q,2,0))</f>
        <v/>
      </c>
      <c r="F3" s="15" t="str">
        <f t="shared" ref="F3:F12" si="1">IF(ISNA(VLOOKUP(C3,P:R,3,0)),"",VLOOKUP(C3,P:R,3,0))</f>
        <v/>
      </c>
      <c r="G3">
        <f t="shared" ref="G3:G12" si="2">ROUND(IF(D3&gt;0,0,ABS(D3)),2)</f>
        <v>0</v>
      </c>
      <c r="H3">
        <f t="shared" ref="H3:H12" si="3">ROUND(IF(D3&gt;0,D3,),2)</f>
        <v>0</v>
      </c>
      <c r="K3" s="7"/>
      <c r="L3" s="21" t="s">
        <v>19</v>
      </c>
      <c r="M3" s="25" t="e">
        <f>VLOOKUP(M5,Ref_Tab!A:D,4,0)</f>
        <v>#N/A</v>
      </c>
      <c r="N3" s="7"/>
      <c r="P3" s="46"/>
      <c r="Q3" s="44"/>
      <c r="R3" s="44"/>
      <c r="AE3" t="s">
        <v>22</v>
      </c>
      <c r="AF3" s="14" t="s">
        <v>364</v>
      </c>
    </row>
    <row r="4" spans="1:32" customFormat="1" x14ac:dyDescent="0.25">
      <c r="A4" s="11"/>
      <c r="B4" s="11"/>
      <c r="C4" s="43"/>
      <c r="D4" s="42"/>
      <c r="E4" t="str">
        <f t="shared" si="0"/>
        <v/>
      </c>
      <c r="F4" s="15" t="str">
        <f t="shared" si="1"/>
        <v/>
      </c>
      <c r="G4">
        <f t="shared" si="2"/>
        <v>0</v>
      </c>
      <c r="H4">
        <f t="shared" si="3"/>
        <v>0</v>
      </c>
      <c r="K4" s="7"/>
      <c r="L4" s="22" t="s">
        <v>20</v>
      </c>
      <c r="M4" s="26" t="e">
        <f>VLOOKUP(M6,Ref_Tab!B:H,7,0)</f>
        <v>#N/A</v>
      </c>
      <c r="N4" s="7"/>
      <c r="P4" s="17" t="s">
        <v>10</v>
      </c>
      <c r="Q4" s="2">
        <v>0</v>
      </c>
      <c r="R4" s="2">
        <v>0</v>
      </c>
      <c r="AE4" t="s">
        <v>223</v>
      </c>
      <c r="AF4" s="14" t="s">
        <v>224</v>
      </c>
    </row>
    <row r="5" spans="1:32" customFormat="1" x14ac:dyDescent="0.25">
      <c r="A5" s="11"/>
      <c r="B5" s="11"/>
      <c r="C5" s="43"/>
      <c r="D5" s="42"/>
      <c r="E5" t="str">
        <f t="shared" si="0"/>
        <v/>
      </c>
      <c r="F5" s="15" t="str">
        <f t="shared" si="1"/>
        <v/>
      </c>
      <c r="G5">
        <f t="shared" si="2"/>
        <v>0</v>
      </c>
      <c r="H5">
        <f t="shared" si="3"/>
        <v>0</v>
      </c>
      <c r="K5" s="7"/>
      <c r="L5" s="21" t="s">
        <v>21</v>
      </c>
      <c r="M5" s="1"/>
      <c r="N5" s="7"/>
      <c r="P5" s="17" t="s">
        <v>3</v>
      </c>
      <c r="Q5" s="2">
        <v>0</v>
      </c>
      <c r="R5" s="2">
        <v>0</v>
      </c>
      <c r="AE5" t="s">
        <v>225</v>
      </c>
      <c r="AF5" s="14" t="s">
        <v>226</v>
      </c>
    </row>
    <row r="6" spans="1:32" customFormat="1" x14ac:dyDescent="0.25">
      <c r="A6" s="11"/>
      <c r="B6" s="11"/>
      <c r="C6" s="43"/>
      <c r="D6" s="42"/>
      <c r="E6" t="str">
        <f t="shared" si="0"/>
        <v/>
      </c>
      <c r="F6" s="15" t="str">
        <f t="shared" si="1"/>
        <v/>
      </c>
      <c r="G6">
        <f t="shared" si="2"/>
        <v>0</v>
      </c>
      <c r="H6">
        <f t="shared" si="3"/>
        <v>0</v>
      </c>
      <c r="K6" s="7"/>
      <c r="L6" s="22" t="s">
        <v>22</v>
      </c>
      <c r="M6" s="26" t="e">
        <f>VLOOKUP(M5,Ref_Tab!A:B,2,0)</f>
        <v>#N/A</v>
      </c>
      <c r="N6" s="7"/>
      <c r="P6" s="17" t="s">
        <v>11</v>
      </c>
      <c r="Q6" s="2">
        <v>0</v>
      </c>
      <c r="R6" s="2">
        <v>0</v>
      </c>
      <c r="AE6" t="s">
        <v>227</v>
      </c>
      <c r="AF6" s="14" t="s">
        <v>228</v>
      </c>
    </row>
    <row r="7" spans="1:32" customFormat="1" x14ac:dyDescent="0.25">
      <c r="A7" s="11"/>
      <c r="B7" s="11"/>
      <c r="C7" s="43"/>
      <c r="D7" s="42"/>
      <c r="E7" t="str">
        <f t="shared" si="0"/>
        <v/>
      </c>
      <c r="F7" s="15" t="str">
        <f t="shared" si="1"/>
        <v/>
      </c>
      <c r="G7">
        <f t="shared" si="2"/>
        <v>0</v>
      </c>
      <c r="H7">
        <f t="shared" si="3"/>
        <v>0</v>
      </c>
      <c r="K7" s="7"/>
      <c r="L7" s="22" t="s">
        <v>23</v>
      </c>
      <c r="M7" s="36" t="s">
        <v>234</v>
      </c>
      <c r="N7" s="7"/>
      <c r="P7" s="17" t="s">
        <v>12</v>
      </c>
      <c r="Q7" s="2">
        <v>0</v>
      </c>
      <c r="R7" s="2">
        <v>0</v>
      </c>
      <c r="AE7" s="33" t="s">
        <v>230</v>
      </c>
      <c r="AF7" s="14" t="e">
        <f>VLOOKUP(M5,Ref_Tab!A:E,5,0)</f>
        <v>#N/A</v>
      </c>
    </row>
    <row r="8" spans="1:32" customFormat="1" x14ac:dyDescent="0.25">
      <c r="A8" s="11"/>
      <c r="B8" s="11"/>
      <c r="C8" s="43"/>
      <c r="D8" s="42"/>
      <c r="E8" t="str">
        <f t="shared" si="0"/>
        <v/>
      </c>
      <c r="F8" s="15" t="str">
        <f t="shared" si="1"/>
        <v/>
      </c>
      <c r="G8">
        <f t="shared" si="2"/>
        <v>0</v>
      </c>
      <c r="H8">
        <f t="shared" si="3"/>
        <v>0</v>
      </c>
      <c r="K8" s="7"/>
      <c r="L8" s="9"/>
      <c r="M8" s="9"/>
      <c r="N8" s="7"/>
      <c r="P8" s="17" t="s">
        <v>13</v>
      </c>
      <c r="Q8" s="2">
        <v>0</v>
      </c>
      <c r="R8" s="2">
        <v>0</v>
      </c>
      <c r="AE8" s="33" t="s">
        <v>229</v>
      </c>
      <c r="AF8" s="14" t="e">
        <f>VLOOKUP(M5,Ref_Tab!A:J,10,0)</f>
        <v>#N/A</v>
      </c>
    </row>
    <row r="9" spans="1:32" customFormat="1" x14ac:dyDescent="0.25">
      <c r="A9" s="11"/>
      <c r="B9" s="11"/>
      <c r="C9" s="43"/>
      <c r="D9" s="42"/>
      <c r="E9" t="str">
        <f t="shared" si="0"/>
        <v/>
      </c>
      <c r="F9" s="15" t="str">
        <f t="shared" si="1"/>
        <v/>
      </c>
      <c r="G9">
        <f t="shared" si="2"/>
        <v>0</v>
      </c>
      <c r="H9">
        <f t="shared" si="3"/>
        <v>0</v>
      </c>
      <c r="K9" s="7"/>
      <c r="L9" s="9"/>
      <c r="M9" s="9"/>
      <c r="N9" s="7"/>
      <c r="P9" s="17" t="s">
        <v>14</v>
      </c>
      <c r="Q9" s="2">
        <v>0</v>
      </c>
      <c r="R9" s="2">
        <v>0</v>
      </c>
      <c r="AE9" s="33" t="s">
        <v>232</v>
      </c>
      <c r="AF9" s="14" t="str">
        <f>VLOOKUP(AF3,Ref_Tab!B:E,4,0)</f>
        <v>PWGINP</v>
      </c>
    </row>
    <row r="10" spans="1:32" customFormat="1" x14ac:dyDescent="0.25">
      <c r="A10" s="11"/>
      <c r="B10" s="11"/>
      <c r="C10" s="43"/>
      <c r="D10" s="42"/>
      <c r="E10" t="str">
        <f t="shared" si="0"/>
        <v/>
      </c>
      <c r="F10" s="15" t="str">
        <f t="shared" si="1"/>
        <v/>
      </c>
      <c r="G10">
        <f t="shared" si="2"/>
        <v>0</v>
      </c>
      <c r="H10">
        <f t="shared" si="3"/>
        <v>0</v>
      </c>
      <c r="K10" s="7"/>
      <c r="L10" s="9"/>
      <c r="M10" s="9"/>
      <c r="N10" s="7"/>
      <c r="P10" s="17" t="s">
        <v>15</v>
      </c>
      <c r="Q10" s="2">
        <v>0</v>
      </c>
      <c r="R10" s="2">
        <v>0</v>
      </c>
      <c r="AE10" s="33" t="s">
        <v>231</v>
      </c>
      <c r="AF10" s="14" t="str">
        <f>VLOOKUP(AF3,Ref_Tab!B:F,5,0)</f>
        <v>SD0B12</v>
      </c>
    </row>
    <row r="11" spans="1:32" customFormat="1" x14ac:dyDescent="0.25">
      <c r="A11" s="11"/>
      <c r="B11" s="11"/>
      <c r="C11" s="43"/>
      <c r="D11" s="42"/>
      <c r="E11" t="str">
        <f t="shared" si="0"/>
        <v/>
      </c>
      <c r="F11" s="15" t="str">
        <f t="shared" si="1"/>
        <v/>
      </c>
      <c r="G11">
        <f t="shared" si="2"/>
        <v>0</v>
      </c>
      <c r="H11">
        <f t="shared" si="3"/>
        <v>0</v>
      </c>
      <c r="K11" s="7"/>
      <c r="L11" s="9"/>
      <c r="M11" s="9"/>
      <c r="N11" s="7"/>
      <c r="P11" s="17" t="s">
        <v>16</v>
      </c>
      <c r="Q11" s="2">
        <v>0</v>
      </c>
      <c r="R11" s="2">
        <v>0</v>
      </c>
      <c r="AE11" t="s">
        <v>230</v>
      </c>
      <c r="AF11" s="14" t="s">
        <v>213</v>
      </c>
    </row>
    <row r="12" spans="1:32" customFormat="1" x14ac:dyDescent="0.25">
      <c r="A12" s="11"/>
      <c r="B12" s="11"/>
      <c r="C12" s="12"/>
      <c r="D12" s="37"/>
      <c r="E12" t="str">
        <f t="shared" si="0"/>
        <v/>
      </c>
      <c r="F12" s="15" t="str">
        <f t="shared" si="1"/>
        <v/>
      </c>
      <c r="G12">
        <f t="shared" si="2"/>
        <v>0</v>
      </c>
      <c r="H12">
        <f t="shared" si="3"/>
        <v>0</v>
      </c>
      <c r="K12" s="7"/>
      <c r="L12" s="9"/>
      <c r="M12" s="9"/>
      <c r="N12" s="7"/>
      <c r="P12" s="18">
        <v>120020000</v>
      </c>
      <c r="Q12" s="2">
        <v>0</v>
      </c>
      <c r="R12" s="2">
        <v>0</v>
      </c>
      <c r="AE12" t="s">
        <v>229</v>
      </c>
      <c r="AF12" s="14" t="s">
        <v>266</v>
      </c>
    </row>
    <row r="13" spans="1:32" customFormat="1" x14ac:dyDescent="0.25">
      <c r="A13" s="11"/>
      <c r="B13" s="11"/>
      <c r="C13" s="43"/>
      <c r="D13" s="42"/>
      <c r="E13" t="str">
        <f>IF(ISNA(VLOOKUP(C13,P:Q,2,0)),"",VLOOKUP(C13,P:Q,2,0))</f>
        <v/>
      </c>
      <c r="F13" s="15" t="str">
        <f>IF(ISNA(VLOOKUP(C13,P:R,3,0)),"",VLOOKUP(C13,P:R,3,0))</f>
        <v/>
      </c>
      <c r="G13">
        <f>ROUND(IF(D13&gt;0,0,ABS(D13)),2)</f>
        <v>0</v>
      </c>
      <c r="H13">
        <f>ROUND(IF(D13&gt;0,D13,),2)</f>
        <v>0</v>
      </c>
      <c r="K13" s="7"/>
      <c r="L13" s="9"/>
      <c r="M13" s="9"/>
      <c r="N13" s="7"/>
      <c r="P13" s="18">
        <v>120030100</v>
      </c>
      <c r="Q13" s="2">
        <v>0</v>
      </c>
      <c r="R13" s="2">
        <v>0</v>
      </c>
      <c r="AE13" t="s">
        <v>232</v>
      </c>
      <c r="AF13" s="14" t="s">
        <v>213</v>
      </c>
    </row>
    <row r="14" spans="1:32" customFormat="1" x14ac:dyDescent="0.25">
      <c r="A14" s="11"/>
      <c r="B14" s="11"/>
      <c r="C14" s="12"/>
      <c r="D14" s="37"/>
      <c r="E14" t="str">
        <f>IF(ISNA(VLOOKUP(C14,P:Q,2,0)),"",VLOOKUP(C14,P:Q,2,0))</f>
        <v/>
      </c>
      <c r="F14" s="15" t="str">
        <f>IF(ISNA(VLOOKUP(C14,P:R,3,0)),"",VLOOKUP(C14,P:R,3,0))</f>
        <v/>
      </c>
      <c r="G14">
        <f>ROUND(IF(D14&gt;0,0,ABS(D14)),2)</f>
        <v>0</v>
      </c>
      <c r="H14">
        <f>ROUND(IF(D14&gt;0,D14,),2)</f>
        <v>0</v>
      </c>
      <c r="K14" s="7"/>
      <c r="L14" s="9"/>
      <c r="M14" s="9"/>
      <c r="N14" s="7"/>
      <c r="P14" s="18">
        <v>120030101</v>
      </c>
      <c r="Q14" s="2">
        <v>0</v>
      </c>
      <c r="R14" s="2">
        <v>0</v>
      </c>
      <c r="AE14" t="s">
        <v>231</v>
      </c>
      <c r="AF14" s="14" t="s">
        <v>265</v>
      </c>
    </row>
    <row r="15" spans="1:32" customFormat="1" x14ac:dyDescent="0.25">
      <c r="A15" s="11"/>
      <c r="B15" s="11"/>
      <c r="C15" s="12"/>
      <c r="D15" s="37"/>
      <c r="E15" t="str">
        <f>IF(ISNA(VLOOKUP(C15,P:Q,2,0)),"",VLOOKUP(C15,P:Q,2,0))</f>
        <v/>
      </c>
      <c r="F15" s="15" t="str">
        <f>IF(ISNA(VLOOKUP(C15,P:R,3,0)),"",VLOOKUP(C15,P:R,3,0))</f>
        <v/>
      </c>
      <c r="G15">
        <f>ROUND(IF(D15&gt;0,0,ABS(D15)),2)</f>
        <v>0</v>
      </c>
      <c r="H15">
        <f>ROUND(IF(D15&gt;0,D15,),2)</f>
        <v>0</v>
      </c>
      <c r="K15" s="7"/>
      <c r="L15" s="9"/>
      <c r="M15" s="9"/>
      <c r="N15" s="7"/>
      <c r="P15" s="18">
        <v>120030102</v>
      </c>
      <c r="Q15" s="2">
        <v>0</v>
      </c>
      <c r="R15" s="2">
        <v>0</v>
      </c>
      <c r="AF15" s="14"/>
    </row>
    <row r="16" spans="1:32" customFormat="1" x14ac:dyDescent="0.25">
      <c r="A16" s="11"/>
      <c r="B16" s="11"/>
      <c r="C16" s="12"/>
      <c r="D16" s="23"/>
      <c r="E16" t="str">
        <f>IF(ISNA(VLOOKUP(C16,P:Q,2,0)),"",VLOOKUP(C16,P:Q,2,0))</f>
        <v/>
      </c>
      <c r="F16" s="15" t="str">
        <f>IF(ISNA(VLOOKUP(C16,P:R,3,0)),"",VLOOKUP(C16,P:R,3,0))</f>
        <v/>
      </c>
      <c r="G16">
        <f>ROUND(IF(D16&gt;0,0,ABS(D16)),2)</f>
        <v>0</v>
      </c>
      <c r="H16">
        <f>ROUND(IF(D16&gt;0,D16,),2)</f>
        <v>0</v>
      </c>
      <c r="K16" s="7"/>
      <c r="L16" s="9"/>
      <c r="M16" s="9"/>
      <c r="N16" s="7"/>
      <c r="P16" s="18">
        <v>120030103</v>
      </c>
      <c r="Q16" s="2">
        <v>0</v>
      </c>
      <c r="R16" s="2">
        <v>0</v>
      </c>
      <c r="AF16" s="14"/>
    </row>
    <row r="17" spans="1:32" customFormat="1" x14ac:dyDescent="0.25">
      <c r="A17" s="11"/>
      <c r="B17" s="11"/>
      <c r="C17" s="12"/>
      <c r="D17" s="37"/>
      <c r="E17" t="str">
        <f>IF(ISNA(VLOOKUP(C17,P:Q,2,0)),"",VLOOKUP(C17,P:Q,2,0))</f>
        <v/>
      </c>
      <c r="F17" s="15" t="str">
        <f>IF(ISNA(VLOOKUP(C17,P:R,3,0)),"",VLOOKUP(C17,P:R,3,0))</f>
        <v/>
      </c>
      <c r="G17">
        <f>ROUND(IF(D17&gt;0,0,ABS(D17)),2)</f>
        <v>0</v>
      </c>
      <c r="H17">
        <f>ROUND(IF(D17&gt;0,D17,),2)</f>
        <v>0</v>
      </c>
      <c r="K17" s="7"/>
      <c r="L17" s="9"/>
      <c r="M17" s="9"/>
      <c r="N17" s="7"/>
      <c r="P17" s="18">
        <v>120070002</v>
      </c>
      <c r="Q17" s="2">
        <v>0</v>
      </c>
      <c r="R17" s="2">
        <v>0</v>
      </c>
      <c r="AF17" s="14"/>
    </row>
    <row r="18" spans="1:32" customFormat="1" x14ac:dyDescent="0.25">
      <c r="A18" s="11"/>
      <c r="B18" s="11"/>
      <c r="C18" s="12"/>
      <c r="D18" s="23"/>
      <c r="E18" t="str">
        <f>IF(ISNA(VLOOKUP(C18,P:Q,2,0)),"",VLOOKUP(C18,P:Q,2,0))</f>
        <v/>
      </c>
      <c r="F18" s="15" t="str">
        <f>IF(ISNA(VLOOKUP(C18,P:R,3,0)),"",VLOOKUP(C18,P:R,3,0))</f>
        <v/>
      </c>
      <c r="G18">
        <f>ROUND(IF(D18&gt;0,0,ABS(D18)),2)</f>
        <v>0</v>
      </c>
      <c r="H18">
        <f>ROUND(IF(D18&gt;0,D18,),2)</f>
        <v>0</v>
      </c>
      <c r="K18" s="7"/>
      <c r="L18" s="9"/>
      <c r="M18" s="9"/>
      <c r="N18" s="7"/>
      <c r="P18" s="18">
        <v>183199002</v>
      </c>
      <c r="Q18" s="2">
        <v>570</v>
      </c>
      <c r="R18" s="2">
        <v>0</v>
      </c>
      <c r="AF18" s="14"/>
    </row>
    <row r="19" spans="1:32" customFormat="1" x14ac:dyDescent="0.25">
      <c r="A19" s="11"/>
      <c r="B19" s="11"/>
      <c r="C19" s="12"/>
      <c r="D19" s="37"/>
      <c r="E19" t="str">
        <f>IF(ISNA(VLOOKUP(C19,P:Q,2,0)),"",VLOOKUP(C19,P:Q,2,0))</f>
        <v/>
      </c>
      <c r="F19" s="15" t="str">
        <f>IF(ISNA(VLOOKUP(C19,P:R,3,0)),"",VLOOKUP(C19,P:R,3,0))</f>
        <v/>
      </c>
      <c r="G19">
        <f>ROUND(IF(D19&gt;0,0,ABS(D19)),2)</f>
        <v>0</v>
      </c>
      <c r="H19">
        <f>ROUND(IF(D19&gt;0,D19,),2)</f>
        <v>0</v>
      </c>
      <c r="K19" s="7"/>
      <c r="L19" s="9"/>
      <c r="M19" s="9"/>
      <c r="N19" s="7"/>
      <c r="P19" s="18">
        <v>200200283</v>
      </c>
      <c r="Q19" s="2">
        <v>0</v>
      </c>
      <c r="R19" s="2">
        <v>0</v>
      </c>
      <c r="AF19" s="14"/>
    </row>
    <row r="20" spans="1:32" customFormat="1" x14ac:dyDescent="0.25">
      <c r="A20" s="11"/>
      <c r="B20" s="11"/>
      <c r="C20" s="12"/>
      <c r="D20" s="23"/>
      <c r="E20" t="str">
        <f>IF(ISNA(VLOOKUP(C20,P:Q,2,0)),"",VLOOKUP(C20,P:Q,2,0))</f>
        <v/>
      </c>
      <c r="F20" s="15" t="str">
        <f>IF(ISNA(VLOOKUP(C20,P:R,3,0)),"",VLOOKUP(C20,P:R,3,0))</f>
        <v/>
      </c>
      <c r="G20">
        <f>ROUND(IF(D20&gt;0,0,ABS(D20)),2)</f>
        <v>0</v>
      </c>
      <c r="H20">
        <f>ROUND(IF(D20&gt;0,D20,),2)</f>
        <v>0</v>
      </c>
      <c r="K20" s="7"/>
      <c r="L20" s="9"/>
      <c r="M20" s="9"/>
      <c r="N20" s="7"/>
      <c r="P20" s="18">
        <v>221000100</v>
      </c>
      <c r="Q20" s="2">
        <v>0</v>
      </c>
      <c r="R20" s="2">
        <v>0</v>
      </c>
      <c r="AF20" s="14"/>
    </row>
    <row r="21" spans="1:32" customFormat="1" x14ac:dyDescent="0.25">
      <c r="A21" s="11"/>
      <c r="B21" s="11"/>
      <c r="C21" s="12"/>
      <c r="D21" s="23"/>
      <c r="E21" t="str">
        <f>IF(ISNA(VLOOKUP(C21,P:Q,2,0)),"",VLOOKUP(C21,P:Q,2,0))</f>
        <v/>
      </c>
      <c r="F21" s="15" t="str">
        <f>IF(ISNA(VLOOKUP(C21,P:R,3,0)),"",VLOOKUP(C21,P:R,3,0))</f>
        <v/>
      </c>
      <c r="G21">
        <f>ROUND(IF(D21&gt;0,0,ABS(D21)),2)</f>
        <v>0</v>
      </c>
      <c r="H21">
        <f>ROUND(IF(D21&gt;0,D21,),2)</f>
        <v>0</v>
      </c>
      <c r="K21" s="7"/>
      <c r="L21" s="9"/>
      <c r="M21" s="9"/>
      <c r="N21" s="7"/>
      <c r="P21" s="18">
        <v>289500100</v>
      </c>
      <c r="Q21" s="2">
        <v>0</v>
      </c>
      <c r="R21" s="2">
        <v>0</v>
      </c>
      <c r="AF21" s="14"/>
    </row>
    <row r="22" spans="1:32" customFormat="1" x14ac:dyDescent="0.25">
      <c r="A22" s="11"/>
      <c r="B22" s="11"/>
      <c r="C22" s="12"/>
      <c r="D22" s="23"/>
      <c r="E22" t="str">
        <f>IF(ISNA(VLOOKUP(C22,P:Q,2,0)),"",VLOOKUP(C22,P:Q,2,0))</f>
        <v/>
      </c>
      <c r="F22" s="15" t="str">
        <f>IF(ISNA(VLOOKUP(C22,P:R,3,0)),"",VLOOKUP(C22,P:R,3,0))</f>
        <v/>
      </c>
      <c r="G22">
        <f>ROUND(IF(D22&gt;0,0,ABS(D22)),2)</f>
        <v>0</v>
      </c>
      <c r="H22">
        <f>ROUND(IF(D22&gt;0,D22,),2)</f>
        <v>0</v>
      </c>
      <c r="K22" s="7"/>
      <c r="L22" s="9"/>
      <c r="M22" s="9"/>
      <c r="N22" s="7"/>
      <c r="P22" s="18">
        <v>293000283</v>
      </c>
      <c r="Q22" s="2">
        <v>0</v>
      </c>
      <c r="R22" s="2">
        <v>0</v>
      </c>
      <c r="AF22" s="14"/>
    </row>
    <row r="23" spans="1:32" customFormat="1" x14ac:dyDescent="0.25">
      <c r="A23" s="11"/>
      <c r="B23" s="11"/>
      <c r="C23" s="12"/>
      <c r="D23" s="23"/>
      <c r="E23" t="str">
        <f>IF(ISNA(VLOOKUP(C23,P:Q,2,0)),"",VLOOKUP(C23,P:Q,2,0))</f>
        <v/>
      </c>
      <c r="F23" s="15" t="str">
        <f>IF(ISNA(VLOOKUP(C23,P:R,3,0)),"",VLOOKUP(C23,P:R,3,0))</f>
        <v/>
      </c>
      <c r="G23">
        <f>ROUND(IF(D23&gt;0,0,ABS(D23)),2)</f>
        <v>0</v>
      </c>
      <c r="H23">
        <f>ROUND(IF(D23&gt;0,D23,),2)</f>
        <v>0</v>
      </c>
      <c r="K23" s="7"/>
      <c r="L23" s="9"/>
      <c r="M23" s="9"/>
      <c r="N23" s="7"/>
      <c r="P23" s="18">
        <v>301010000</v>
      </c>
      <c r="Q23" s="2">
        <v>0</v>
      </c>
      <c r="R23" s="2">
        <v>0</v>
      </c>
      <c r="AF23" s="14"/>
    </row>
    <row r="24" spans="1:32" customFormat="1" x14ac:dyDescent="0.25">
      <c r="A24" s="11"/>
      <c r="B24" s="11"/>
      <c r="C24" s="13"/>
      <c r="D24" s="11"/>
      <c r="E24" t="str">
        <f>IF(ISNA(VLOOKUP(C24,P:Q,2,0)),"",VLOOKUP(C24,P:Q,2,0))</f>
        <v/>
      </c>
      <c r="F24" s="15" t="str">
        <f>IF(ISNA(VLOOKUP(C24,P:R,3,0)),"",VLOOKUP(C24,P:R,3,0))</f>
        <v/>
      </c>
      <c r="G24">
        <f>ROUND(IF(D24&gt;0,0,ABS(D24)),2)</f>
        <v>0</v>
      </c>
      <c r="H24">
        <f>ROUND(IF(D24&gt;0,D24,),2)</f>
        <v>0</v>
      </c>
      <c r="K24" s="7"/>
      <c r="L24" s="9"/>
      <c r="M24" s="9"/>
      <c r="N24" s="7"/>
      <c r="P24" s="18">
        <v>301030200</v>
      </c>
      <c r="Q24" s="2">
        <v>0</v>
      </c>
      <c r="R24" s="2">
        <v>0</v>
      </c>
      <c r="AF24" s="14"/>
    </row>
    <row r="25" spans="1:32" customFormat="1" x14ac:dyDescent="0.25">
      <c r="A25" s="24"/>
      <c r="B25" s="11"/>
      <c r="C25" s="12"/>
      <c r="D25" s="23"/>
      <c r="E25" t="str">
        <f>IF(ISNA(VLOOKUP(C25,P:Q,2,0)),"",VLOOKUP(C25,P:Q,2,0))</f>
        <v/>
      </c>
      <c r="F25" s="15" t="str">
        <f>IF(ISNA(VLOOKUP(C25,P:R,3,0)),"",VLOOKUP(C25,P:R,3,0))</f>
        <v/>
      </c>
      <c r="G25">
        <f>ROUND(IF(D25&gt;0,0,ABS(D25)),2)</f>
        <v>0</v>
      </c>
      <c r="H25">
        <f>ROUND(IF(D25&gt;0,D25,),2)</f>
        <v>0</v>
      </c>
      <c r="K25" s="7"/>
      <c r="L25" s="9"/>
      <c r="M25" s="9"/>
      <c r="N25" s="7"/>
      <c r="P25" s="18">
        <v>303011000</v>
      </c>
      <c r="Q25" s="2">
        <v>0</v>
      </c>
      <c r="R25" s="2">
        <v>0</v>
      </c>
      <c r="AF25" s="14"/>
    </row>
    <row r="26" spans="1:32" customFormat="1" x14ac:dyDescent="0.25">
      <c r="A26" s="24"/>
      <c r="B26" s="11"/>
      <c r="C26" s="12"/>
      <c r="D26" s="23"/>
      <c r="E26" t="str">
        <f>IF(ISNA(VLOOKUP(C26,P:Q,2,0)),"",VLOOKUP(C26,P:Q,2,0))</f>
        <v/>
      </c>
      <c r="F26" s="15" t="str">
        <f>IF(ISNA(VLOOKUP(C26,P:R,3,0)),"",VLOOKUP(C26,P:R,3,0))</f>
        <v/>
      </c>
      <c r="G26">
        <f>ROUND(IF(D26&gt;0,0,ABS(D26)),2)</f>
        <v>0</v>
      </c>
      <c r="H26">
        <f>ROUND(IF(D26&gt;0,D26,),2)</f>
        <v>0</v>
      </c>
      <c r="K26" s="7"/>
      <c r="L26" s="9"/>
      <c r="M26" s="9"/>
      <c r="N26" s="7"/>
      <c r="P26" s="18">
        <v>305010100</v>
      </c>
      <c r="Q26" s="2">
        <v>0</v>
      </c>
      <c r="R26" s="2">
        <v>0</v>
      </c>
      <c r="AF26" s="14"/>
    </row>
    <row r="27" spans="1:32" customFormat="1" x14ac:dyDescent="0.25">
      <c r="A27" s="24"/>
      <c r="B27" s="11"/>
      <c r="C27" s="12"/>
      <c r="D27" s="23"/>
      <c r="E27" t="str">
        <f>IF(ISNA(VLOOKUP(C27,P:Q,2,0)),"",VLOOKUP(C27,P:Q,2,0))</f>
        <v/>
      </c>
      <c r="F27" s="15" t="str">
        <f>IF(ISNA(VLOOKUP(C27,P:R,3,0)),"",VLOOKUP(C27,P:R,3,0))</f>
        <v/>
      </c>
      <c r="G27">
        <f>ROUND(IF(D27&gt;0,0,ABS(D27)),2)</f>
        <v>0</v>
      </c>
      <c r="H27">
        <f>ROUND(IF(D27&gt;0,D27,),2)</f>
        <v>0</v>
      </c>
      <c r="K27" s="7"/>
      <c r="L27" s="9"/>
      <c r="M27" s="9"/>
      <c r="N27" s="7"/>
      <c r="P27" s="18">
        <v>305023000</v>
      </c>
      <c r="Q27" s="2">
        <v>0</v>
      </c>
      <c r="R27" s="2">
        <v>0</v>
      </c>
      <c r="AF27" s="14"/>
    </row>
    <row r="28" spans="1:32" customFormat="1" x14ac:dyDescent="0.25">
      <c r="A28" s="24"/>
      <c r="B28" s="11"/>
      <c r="C28" s="12"/>
      <c r="D28" s="11"/>
      <c r="E28" t="str">
        <f>IF(ISNA(VLOOKUP(C28,P:Q,2,0)),"",VLOOKUP(C28,P:Q,2,0))</f>
        <v/>
      </c>
      <c r="F28" s="15" t="str">
        <f>IF(ISNA(VLOOKUP(C28,P:R,3,0)),"",VLOOKUP(C28,P:R,3,0))</f>
        <v/>
      </c>
      <c r="G28">
        <f>ROUND(IF(D28&gt;0,0,ABS(D28)),2)</f>
        <v>0</v>
      </c>
      <c r="H28">
        <f>ROUND(IF(D28&gt;0,D28,),2)</f>
        <v>0</v>
      </c>
      <c r="K28" s="7"/>
      <c r="L28" s="9"/>
      <c r="M28" s="9"/>
      <c r="N28" s="7"/>
      <c r="P28" s="18">
        <v>305028000</v>
      </c>
      <c r="Q28" s="2">
        <v>0</v>
      </c>
      <c r="R28" s="2">
        <v>0</v>
      </c>
      <c r="AF28" s="14"/>
    </row>
    <row r="29" spans="1:32" customFormat="1" x14ac:dyDescent="0.25">
      <c r="A29" s="9"/>
      <c r="C29" s="14"/>
      <c r="E29" t="str">
        <f>IF(ISNA(VLOOKUP(C29,P:Q,2,0)),"",VLOOKUP(C29,P:Q,2,0))</f>
        <v/>
      </c>
      <c r="F29" s="15" t="str">
        <f>IF(ISNA(VLOOKUP(C29,P:R,3,0)),"",VLOOKUP(C29,P:R,3,0))</f>
        <v/>
      </c>
      <c r="G29">
        <f>ROUND(IF(D29&gt;0,0,ABS(D29)),2)</f>
        <v>0</v>
      </c>
      <c r="H29">
        <f>ROUND(IF(D29&gt;0,D29,),2)</f>
        <v>0</v>
      </c>
      <c r="K29" s="7"/>
      <c r="L29" s="9"/>
      <c r="M29" s="9"/>
      <c r="N29" s="7"/>
      <c r="P29" s="18">
        <v>311000099</v>
      </c>
      <c r="Q29" s="2">
        <v>0</v>
      </c>
      <c r="R29" s="2">
        <v>0</v>
      </c>
      <c r="AF29" s="14"/>
    </row>
    <row r="30" spans="1:32" customFormat="1" x14ac:dyDescent="0.25">
      <c r="A30" s="9"/>
      <c r="C30" s="14"/>
      <c r="E30" t="str">
        <f>IF(ISNA(VLOOKUP(C30,P:Q,2,0)),"",VLOOKUP(C30,P:Q,2,0))</f>
        <v/>
      </c>
      <c r="F30" s="15" t="str">
        <f>IF(ISNA(VLOOKUP(C30,P:R,3,0)),"",VLOOKUP(C30,P:R,3,0))</f>
        <v/>
      </c>
      <c r="G30">
        <f>ROUND(IF(D30&gt;0,0,ABS(D30)),2)</f>
        <v>0</v>
      </c>
      <c r="H30">
        <f>ROUND(IF(D30&gt;0,D30,),2)</f>
        <v>0</v>
      </c>
      <c r="K30" s="7"/>
      <c r="L30" s="9"/>
      <c r="M30" s="9"/>
      <c r="N30" s="7"/>
      <c r="P30" s="18">
        <v>311010600</v>
      </c>
      <c r="Q30" s="2">
        <v>0</v>
      </c>
      <c r="R30" s="2" t="s">
        <v>8</v>
      </c>
      <c r="AF30" s="14"/>
    </row>
    <row r="31" spans="1:32" customFormat="1" x14ac:dyDescent="0.25">
      <c r="A31" s="9"/>
      <c r="C31" s="14"/>
      <c r="E31" t="str">
        <f>IF(ISNA(VLOOKUP(C31,P:Q,2,0)),"",VLOOKUP(C31,P:Q,2,0))</f>
        <v/>
      </c>
      <c r="F31" s="15" t="str">
        <f>IF(ISNA(VLOOKUP(C31,P:R,3,0)),"",VLOOKUP(C31,P:R,3,0))</f>
        <v/>
      </c>
      <c r="G31">
        <f>ROUND(IF(D31&gt;0,0,ABS(D31)),2)</f>
        <v>0</v>
      </c>
      <c r="H31">
        <f>ROUND(IF(D31&gt;0,D31,),2)</f>
        <v>0</v>
      </c>
      <c r="K31" s="7"/>
      <c r="L31" s="9"/>
      <c r="M31" s="9"/>
      <c r="N31" s="7"/>
      <c r="P31" s="18">
        <v>311700101</v>
      </c>
      <c r="Q31" s="2">
        <v>0</v>
      </c>
      <c r="R31" s="2">
        <v>0</v>
      </c>
      <c r="AF31" s="14"/>
    </row>
    <row r="32" spans="1:32" customFormat="1" x14ac:dyDescent="0.25">
      <c r="A32" s="9"/>
      <c r="C32" s="14"/>
      <c r="E32" t="str">
        <f>IF(ISNA(VLOOKUP(C32,P:Q,2,0)),"",VLOOKUP(C32,P:Q,2,0))</f>
        <v/>
      </c>
      <c r="F32" s="15" t="str">
        <f>IF(ISNA(VLOOKUP(C32,P:R,3,0)),"",VLOOKUP(C32,P:R,3,0))</f>
        <v/>
      </c>
      <c r="G32">
        <f>ROUND(IF(D32&gt;0,0,ABS(D32)),2)</f>
        <v>0</v>
      </c>
      <c r="H32">
        <f>ROUND(IF(D32&gt;0,D32,),2)</f>
        <v>0</v>
      </c>
      <c r="K32" s="7"/>
      <c r="L32" s="9"/>
      <c r="M32" s="9"/>
      <c r="N32" s="7"/>
      <c r="P32" s="18">
        <v>331010000</v>
      </c>
      <c r="Q32" s="2">
        <v>0</v>
      </c>
      <c r="R32" s="2" t="s">
        <v>8</v>
      </c>
      <c r="AF32" s="14"/>
    </row>
    <row r="33" spans="1:32" customFormat="1" x14ac:dyDescent="0.25">
      <c r="A33" s="9"/>
      <c r="C33" s="14"/>
      <c r="E33" t="str">
        <f>IF(ISNA(VLOOKUP(C33,P:Q,2,0)),"",VLOOKUP(C33,P:Q,2,0))</f>
        <v/>
      </c>
      <c r="F33" s="15" t="str">
        <f>IF(ISNA(VLOOKUP(C33,P:R,3,0)),"",VLOOKUP(C33,P:R,3,0))</f>
        <v/>
      </c>
      <c r="G33">
        <f>ROUND(IF(D33&gt;0,0,ABS(D33)),2)</f>
        <v>0</v>
      </c>
      <c r="H33">
        <f>ROUND(IF(D33&gt;0,D33,),2)</f>
        <v>0</v>
      </c>
      <c r="K33" s="7"/>
      <c r="L33" s="9"/>
      <c r="M33" s="9"/>
      <c r="N33" s="7"/>
      <c r="P33" s="18">
        <v>331010041</v>
      </c>
      <c r="Q33" s="2">
        <v>0</v>
      </c>
      <c r="R33" s="2">
        <v>0</v>
      </c>
      <c r="AF33" s="14"/>
    </row>
    <row r="34" spans="1:32" customFormat="1" x14ac:dyDescent="0.25">
      <c r="A34" s="9"/>
      <c r="C34" s="14"/>
      <c r="E34" t="str">
        <f>IF(ISNA(VLOOKUP(C34,P:Q,2,0)),"",VLOOKUP(C34,P:Q,2,0))</f>
        <v/>
      </c>
      <c r="F34" s="15" t="str">
        <f>IF(ISNA(VLOOKUP(C34,P:R,3,0)),"",VLOOKUP(C34,P:R,3,0))</f>
        <v/>
      </c>
      <c r="G34">
        <f>ROUND(IF(D34&gt;0,0,ABS(D34)),2)</f>
        <v>0</v>
      </c>
      <c r="H34">
        <f>ROUND(IF(D34&gt;0,D34,),2)</f>
        <v>0</v>
      </c>
      <c r="K34" s="7"/>
      <c r="L34" s="9"/>
      <c r="M34" s="9"/>
      <c r="N34" s="7"/>
      <c r="P34" s="18">
        <v>331010091</v>
      </c>
      <c r="Q34" s="2">
        <v>0</v>
      </c>
      <c r="R34" s="2" t="s">
        <v>8</v>
      </c>
      <c r="AF34" s="14"/>
    </row>
    <row r="35" spans="1:32" customFormat="1" x14ac:dyDescent="0.25">
      <c r="A35" s="9"/>
      <c r="C35" s="14"/>
      <c r="E35" t="str">
        <f>IF(ISNA(VLOOKUP(C35,P:Q,2,0)),"",VLOOKUP(C35,P:Q,2,0))</f>
        <v/>
      </c>
      <c r="F35" s="15" t="str">
        <f>IF(ISNA(VLOOKUP(C35,P:R,3,0)),"",VLOOKUP(C35,P:R,3,0))</f>
        <v/>
      </c>
      <c r="G35">
        <f>ROUND(IF(D35&gt;0,0,ABS(D35)),2)</f>
        <v>0</v>
      </c>
      <c r="H35">
        <f>ROUND(IF(D35&gt;0,D35,),2)</f>
        <v>0</v>
      </c>
      <c r="K35" s="7"/>
      <c r="L35" s="9"/>
      <c r="M35" s="9"/>
      <c r="N35" s="7"/>
      <c r="P35" s="18">
        <v>333000311</v>
      </c>
      <c r="Q35" s="2">
        <v>0</v>
      </c>
      <c r="R35" s="2">
        <v>0</v>
      </c>
      <c r="AF35" s="14"/>
    </row>
    <row r="36" spans="1:32" customFormat="1" x14ac:dyDescent="0.25">
      <c r="A36" s="9"/>
      <c r="C36" s="14"/>
      <c r="E36" t="str">
        <f>IF(ISNA(VLOOKUP(C36,P:Q,2,0)),"",VLOOKUP(C36,P:Q,2,0))</f>
        <v/>
      </c>
      <c r="F36" s="15" t="str">
        <f>IF(ISNA(VLOOKUP(C36,P:R,3,0)),"",VLOOKUP(C36,P:R,3,0))</f>
        <v/>
      </c>
      <c r="G36">
        <f>ROUND(IF(D36&gt;0,0,ABS(D36)),2)</f>
        <v>0</v>
      </c>
      <c r="H36">
        <f>ROUND(IF(D36&gt;0,D36,),2)</f>
        <v>0</v>
      </c>
      <c r="K36" s="7"/>
      <c r="L36" s="9"/>
      <c r="M36" s="9"/>
      <c r="N36" s="7"/>
      <c r="P36" s="18">
        <v>341400000</v>
      </c>
      <c r="Q36" s="2">
        <v>0</v>
      </c>
      <c r="R36" s="2">
        <v>0</v>
      </c>
      <c r="AF36" s="14"/>
    </row>
    <row r="37" spans="1:32" customFormat="1" x14ac:dyDescent="0.25">
      <c r="A37" s="9"/>
      <c r="C37" s="14"/>
      <c r="E37" t="str">
        <f>IF(ISNA(VLOOKUP(C37,P:Q,2,0)),"",VLOOKUP(C37,P:Q,2,0))</f>
        <v/>
      </c>
      <c r="F37" s="15" t="str">
        <f>IF(ISNA(VLOOKUP(C37,P:R,3,0)),"",VLOOKUP(C37,P:R,3,0))</f>
        <v/>
      </c>
      <c r="G37">
        <f>ROUND(IF(D37&gt;0,0,ABS(D37)),2)</f>
        <v>0</v>
      </c>
      <c r="H37">
        <f>ROUND(IF(D37&gt;0,D37,),2)</f>
        <v>0</v>
      </c>
      <c r="K37" s="7"/>
      <c r="L37" s="9"/>
      <c r="M37" s="9"/>
      <c r="N37" s="7"/>
      <c r="P37" s="18">
        <v>381100000</v>
      </c>
      <c r="Q37" s="2">
        <v>0</v>
      </c>
      <c r="R37" s="2">
        <v>0</v>
      </c>
      <c r="AF37" s="14"/>
    </row>
    <row r="38" spans="1:32" customFormat="1" x14ac:dyDescent="0.25">
      <c r="A38" s="9"/>
      <c r="C38" s="14"/>
      <c r="E38" t="str">
        <f>IF(ISNA(VLOOKUP(C38,P:Q,2,0)),"",VLOOKUP(C38,P:Q,2,0))</f>
        <v/>
      </c>
      <c r="F38" s="15" t="str">
        <f>IF(ISNA(VLOOKUP(C38,P:R,3,0)),"",VLOOKUP(C38,P:R,3,0))</f>
        <v/>
      </c>
      <c r="G38">
        <f>ROUND(IF(D38&gt;0,0,ABS(D38)),2)</f>
        <v>0</v>
      </c>
      <c r="H38">
        <f>ROUND(IF(D38&gt;0,D38,),2)</f>
        <v>0</v>
      </c>
      <c r="K38" s="7"/>
      <c r="L38" s="9"/>
      <c r="M38" s="9"/>
      <c r="N38" s="7"/>
      <c r="P38" s="18">
        <v>381200310</v>
      </c>
      <c r="Q38" s="2">
        <v>0</v>
      </c>
      <c r="R38" s="2">
        <v>0</v>
      </c>
      <c r="AF38" s="14"/>
    </row>
    <row r="39" spans="1:32" customFormat="1" x14ac:dyDescent="0.25">
      <c r="A39" s="9"/>
      <c r="C39" s="14"/>
      <c r="E39" t="str">
        <f>IF(ISNA(VLOOKUP(C39,P:Q,2,0)),"",VLOOKUP(C39,P:Q,2,0))</f>
        <v/>
      </c>
      <c r="F39" s="15" t="str">
        <f>IF(ISNA(VLOOKUP(C39,P:R,3,0)),"",VLOOKUP(C39,P:R,3,0))</f>
        <v/>
      </c>
      <c r="G39">
        <f>ROUND(IF(D39&gt;0,0,ABS(D39)),2)</f>
        <v>0</v>
      </c>
      <c r="H39">
        <f>ROUND(IF(D39&gt;0,D39,),2)</f>
        <v>0</v>
      </c>
      <c r="K39" s="7"/>
      <c r="L39" s="9"/>
      <c r="M39" s="9"/>
      <c r="N39" s="7"/>
      <c r="P39" s="18">
        <v>381220000</v>
      </c>
      <c r="Q39" s="2">
        <v>0</v>
      </c>
      <c r="R39" s="2">
        <v>0</v>
      </c>
      <c r="AF39" s="14"/>
    </row>
    <row r="40" spans="1:32" customFormat="1" x14ac:dyDescent="0.25">
      <c r="A40" s="9"/>
      <c r="C40" s="14"/>
      <c r="E40" t="str">
        <f>IF(ISNA(VLOOKUP(C40,P:Q,2,0)),"",VLOOKUP(C40,P:Q,2,0))</f>
        <v/>
      </c>
      <c r="F40" s="15" t="str">
        <f>IF(ISNA(VLOOKUP(C40,P:R,3,0)),"",VLOOKUP(C40,P:R,3,0))</f>
        <v/>
      </c>
      <c r="G40">
        <f>ROUND(IF(D40&gt;0,0,ABS(D40)),2)</f>
        <v>0</v>
      </c>
      <c r="H40">
        <f>ROUND(IF(D40&gt;0,D40,),2)</f>
        <v>0</v>
      </c>
      <c r="K40" s="7"/>
      <c r="L40" s="9"/>
      <c r="M40" s="9"/>
      <c r="N40" s="7"/>
      <c r="P40" s="18">
        <v>381220005</v>
      </c>
      <c r="Q40" s="2">
        <v>0</v>
      </c>
      <c r="R40" s="2">
        <v>0</v>
      </c>
      <c r="AF40" s="14"/>
    </row>
    <row r="41" spans="1:32" customFormat="1" x14ac:dyDescent="0.25">
      <c r="A41" s="9"/>
      <c r="C41" s="14"/>
      <c r="E41" t="str">
        <f>IF(ISNA(VLOOKUP(C41,P:Q,2,0)),"",VLOOKUP(C41,P:Q,2,0))</f>
        <v/>
      </c>
      <c r="F41" s="15" t="str">
        <f>IF(ISNA(VLOOKUP(C41,P:R,3,0)),"",VLOOKUP(C41,P:R,3,0))</f>
        <v/>
      </c>
      <c r="G41">
        <f>ROUND(IF(D41&gt;0,0,ABS(D41)),2)</f>
        <v>0</v>
      </c>
      <c r="H41">
        <f>ROUND(IF(D41&gt;0,D41,),2)</f>
        <v>0</v>
      </c>
      <c r="K41" s="7"/>
      <c r="L41" s="9"/>
      <c r="M41" s="9"/>
      <c r="N41" s="7"/>
      <c r="P41" s="18">
        <v>381220010</v>
      </c>
      <c r="Q41" s="2">
        <v>0</v>
      </c>
      <c r="R41" s="2">
        <v>0</v>
      </c>
      <c r="AF41" s="14"/>
    </row>
    <row r="42" spans="1:32" customFormat="1" x14ac:dyDescent="0.25">
      <c r="A42" s="9"/>
      <c r="C42" s="14"/>
      <c r="E42" t="str">
        <f>IF(ISNA(VLOOKUP(C42,P:Q,2,0)),"",VLOOKUP(C42,P:Q,2,0))</f>
        <v/>
      </c>
      <c r="F42" s="15" t="str">
        <f>IF(ISNA(VLOOKUP(C42,P:R,3,0)),"",VLOOKUP(C42,P:R,3,0))</f>
        <v/>
      </c>
      <c r="G42">
        <f>ROUND(IF(D42&gt;0,0,ABS(D42)),2)</f>
        <v>0</v>
      </c>
      <c r="H42">
        <f>ROUND(IF(D42&gt;0,D42,),2)</f>
        <v>0</v>
      </c>
      <c r="K42" s="7"/>
      <c r="L42" s="9"/>
      <c r="M42" s="9"/>
      <c r="N42" s="7"/>
      <c r="P42" s="18">
        <v>381220015</v>
      </c>
      <c r="Q42" s="2">
        <v>0</v>
      </c>
      <c r="R42" s="2">
        <v>0</v>
      </c>
      <c r="AF42" s="14"/>
    </row>
    <row r="43" spans="1:32" customFormat="1" x14ac:dyDescent="0.25">
      <c r="A43" s="9"/>
      <c r="C43" s="14"/>
      <c r="E43" t="str">
        <f>IF(ISNA(VLOOKUP(C43,P:Q,2,0)),"",VLOOKUP(C43,P:Q,2,0))</f>
        <v/>
      </c>
      <c r="F43" s="15" t="str">
        <f>IF(ISNA(VLOOKUP(C43,P:R,3,0)),"",VLOOKUP(C43,P:R,3,0))</f>
        <v/>
      </c>
      <c r="G43">
        <f>ROUND(IF(D43&gt;0,0,ABS(D43)),2)</f>
        <v>0</v>
      </c>
      <c r="H43">
        <f>ROUND(IF(D43&gt;0,D43,),2)</f>
        <v>0</v>
      </c>
      <c r="K43" s="7"/>
      <c r="L43" s="9"/>
      <c r="M43" s="9"/>
      <c r="N43" s="7"/>
      <c r="P43" s="18">
        <v>381451000</v>
      </c>
      <c r="Q43" s="2">
        <v>0</v>
      </c>
      <c r="R43" s="2">
        <v>0</v>
      </c>
      <c r="AF43" s="14"/>
    </row>
    <row r="44" spans="1:32" customFormat="1" x14ac:dyDescent="0.25">
      <c r="A44" s="9"/>
      <c r="C44" s="14"/>
      <c r="E44" t="str">
        <f>IF(ISNA(VLOOKUP(C44,P:Q,2,0)),"",VLOOKUP(C44,P:Q,2,0))</f>
        <v/>
      </c>
      <c r="F44" s="15" t="str">
        <f>IF(ISNA(VLOOKUP(C44,P:R,3,0)),"",VLOOKUP(C44,P:R,3,0))</f>
        <v/>
      </c>
      <c r="G44">
        <f>ROUND(IF(D44&gt;0,0,ABS(D44)),2)</f>
        <v>0</v>
      </c>
      <c r="H44">
        <f>ROUND(IF(D44&gt;0,D44,),2)</f>
        <v>0</v>
      </c>
      <c r="K44" s="7"/>
      <c r="L44" s="9"/>
      <c r="M44" s="9"/>
      <c r="N44" s="7"/>
      <c r="P44" s="18">
        <v>391029901</v>
      </c>
      <c r="Q44" s="2">
        <v>0</v>
      </c>
      <c r="R44" s="2" t="s">
        <v>8</v>
      </c>
      <c r="AF44" s="14"/>
    </row>
    <row r="45" spans="1:32" customFormat="1" x14ac:dyDescent="0.25">
      <c r="A45" s="9"/>
      <c r="C45" s="14"/>
      <c r="E45" t="str">
        <f>IF(ISNA(VLOOKUP(C45,P:Q,2,0)),"",VLOOKUP(C45,P:Q,2,0))</f>
        <v/>
      </c>
      <c r="F45" s="15" t="str">
        <f>IF(ISNA(VLOOKUP(C45,P:R,3,0)),"",VLOOKUP(C45,P:R,3,0))</f>
        <v/>
      </c>
      <c r="G45">
        <f>ROUND(IF(D45&gt;0,0,ABS(D45)),2)</f>
        <v>0</v>
      </c>
      <c r="H45">
        <f>ROUND(IF(D45&gt;0,D45,),2)</f>
        <v>0</v>
      </c>
      <c r="K45" s="7"/>
      <c r="L45" s="9"/>
      <c r="M45" s="9"/>
      <c r="N45" s="7"/>
      <c r="P45" s="18">
        <v>472000222</v>
      </c>
      <c r="Q45" s="2">
        <v>0</v>
      </c>
      <c r="R45" s="2">
        <v>0</v>
      </c>
      <c r="AF45" s="14"/>
    </row>
    <row r="46" spans="1:32" customFormat="1" x14ac:dyDescent="0.25">
      <c r="A46" s="9"/>
      <c r="C46" s="14"/>
      <c r="E46" t="str">
        <f>IF(ISNA(VLOOKUP(C46,P:Q,2,0)),"",VLOOKUP(C46,P:Q,2,0))</f>
        <v/>
      </c>
      <c r="F46" s="15" t="str">
        <f>IF(ISNA(VLOOKUP(C46,P:R,3,0)),"",VLOOKUP(C46,P:R,3,0))</f>
        <v/>
      </c>
      <c r="G46">
        <f>ROUND(IF(D46&gt;0,0,ABS(D46)),2)</f>
        <v>0</v>
      </c>
      <c r="H46">
        <f>ROUND(IF(D46&gt;0,D46,),2)</f>
        <v>0</v>
      </c>
      <c r="K46" s="7"/>
      <c r="L46" s="9"/>
      <c r="M46" s="9"/>
      <c r="N46" s="7"/>
      <c r="P46" s="18">
        <v>472100220</v>
      </c>
      <c r="Q46" s="2">
        <v>0</v>
      </c>
      <c r="R46" s="2">
        <v>0</v>
      </c>
      <c r="AF46" s="14"/>
    </row>
    <row r="47" spans="1:32" customFormat="1" x14ac:dyDescent="0.25">
      <c r="A47" s="9"/>
      <c r="C47" s="14"/>
      <c r="E47" t="str">
        <f>IF(ISNA(VLOOKUP(C47,P:Q,2,0)),"",VLOOKUP(C47,P:Q,2,0))</f>
        <v/>
      </c>
      <c r="F47" s="15" t="str">
        <f>IF(ISNA(VLOOKUP(C47,P:R,3,0)),"",VLOOKUP(C47,P:R,3,0))</f>
        <v/>
      </c>
      <c r="G47">
        <f>ROUND(IF(D47&gt;0,0,ABS(D47)),2)</f>
        <v>0</v>
      </c>
      <c r="H47">
        <f>ROUND(IF(D47&gt;0,D47,),2)</f>
        <v>0</v>
      </c>
      <c r="K47" s="7"/>
      <c r="L47" s="9"/>
      <c r="M47" s="9"/>
      <c r="N47" s="7"/>
      <c r="P47" s="18">
        <v>472100650</v>
      </c>
      <c r="Q47" s="2">
        <v>0</v>
      </c>
      <c r="R47" s="2">
        <v>0</v>
      </c>
      <c r="AF47" s="14"/>
    </row>
    <row r="48" spans="1:32" customFormat="1" x14ac:dyDescent="0.25">
      <c r="A48" s="9"/>
      <c r="C48" s="14"/>
      <c r="E48" t="str">
        <f>IF(ISNA(VLOOKUP(C48,P:Q,2,0)),"",VLOOKUP(C48,P:Q,2,0))</f>
        <v/>
      </c>
      <c r="F48" s="15" t="str">
        <f>IF(ISNA(VLOOKUP(C48,P:R,3,0)),"",VLOOKUP(C48,P:R,3,0))</f>
        <v/>
      </c>
      <c r="G48">
        <f>ROUND(IF(D48&gt;0,0,ABS(D48)),2)</f>
        <v>0</v>
      </c>
      <c r="H48">
        <f>ROUND(IF(D48&gt;0,D48,),2)</f>
        <v>0</v>
      </c>
      <c r="K48" s="7"/>
      <c r="L48" s="9"/>
      <c r="M48" s="9"/>
      <c r="N48" s="7"/>
      <c r="P48" s="18">
        <v>472900000</v>
      </c>
      <c r="Q48" s="2">
        <v>0</v>
      </c>
      <c r="R48" s="2">
        <v>0</v>
      </c>
      <c r="AF48" s="14"/>
    </row>
    <row r="49" spans="1:32" customFormat="1" x14ac:dyDescent="0.25">
      <c r="A49" s="9"/>
      <c r="C49" s="14"/>
      <c r="E49" t="str">
        <f>IF(ISNA(VLOOKUP(C49,P:Q,2,0)),"",VLOOKUP(C49,P:Q,2,0))</f>
        <v/>
      </c>
      <c r="F49" s="15" t="str">
        <f>IF(ISNA(VLOOKUP(C49,P:R,3,0)),"",VLOOKUP(C49,P:R,3,0))</f>
        <v/>
      </c>
      <c r="G49">
        <f>ROUND(IF(D49&gt;0,0,ABS(D49)),2)</f>
        <v>0</v>
      </c>
      <c r="H49">
        <f>ROUND(IF(D49&gt;0,D49,),2)</f>
        <v>0</v>
      </c>
      <c r="K49" s="7"/>
      <c r="L49" s="9"/>
      <c r="M49" s="9"/>
      <c r="N49" s="7"/>
      <c r="P49" s="18">
        <v>472910000</v>
      </c>
      <c r="Q49" s="2">
        <v>0</v>
      </c>
      <c r="R49" s="2">
        <v>0</v>
      </c>
      <c r="AF49" s="14"/>
    </row>
    <row r="50" spans="1:32" customFormat="1" x14ac:dyDescent="0.25">
      <c r="A50" s="9"/>
      <c r="C50" s="14"/>
      <c r="E50" t="str">
        <f>IF(ISNA(VLOOKUP(C50,P:Q,2,0)),"",VLOOKUP(C50,P:Q,2,0))</f>
        <v/>
      </c>
      <c r="F50" s="15" t="str">
        <f>IF(ISNA(VLOOKUP(C50,P:R,3,0)),"",VLOOKUP(C50,P:R,3,0))</f>
        <v/>
      </c>
      <c r="G50">
        <f>ROUND(IF(D50&gt;0,0,ABS(D50)),2)</f>
        <v>0</v>
      </c>
      <c r="H50">
        <f>ROUND(IF(D50&gt;0,D50,),2)</f>
        <v>0</v>
      </c>
      <c r="K50" s="7"/>
      <c r="L50" s="9"/>
      <c r="M50" s="9"/>
      <c r="N50" s="7"/>
      <c r="P50" s="18">
        <v>472940000</v>
      </c>
      <c r="Q50" s="2">
        <v>0</v>
      </c>
      <c r="R50" s="2">
        <v>0</v>
      </c>
      <c r="AF50" s="14"/>
    </row>
    <row r="51" spans="1:32" customFormat="1" x14ac:dyDescent="0.25">
      <c r="A51" s="9"/>
      <c r="C51" s="14"/>
      <c r="E51" t="str">
        <f>IF(ISNA(VLOOKUP(C51,P:Q,2,0)),"",VLOOKUP(C51,P:Q,2,0))</f>
        <v/>
      </c>
      <c r="F51" s="15" t="str">
        <f>IF(ISNA(VLOOKUP(C51,P:R,3,0)),"",VLOOKUP(C51,P:R,3,0))</f>
        <v/>
      </c>
      <c r="G51">
        <f>ROUND(IF(D51&gt;0,0,ABS(D51)),2)</f>
        <v>0</v>
      </c>
      <c r="H51">
        <f>ROUND(IF(D51&gt;0,D51,),2)</f>
        <v>0</v>
      </c>
      <c r="K51" s="7"/>
      <c r="L51" s="9"/>
      <c r="M51" s="9"/>
      <c r="N51" s="7"/>
      <c r="P51" s="18">
        <v>502113510</v>
      </c>
      <c r="Q51" s="2">
        <v>0</v>
      </c>
      <c r="R51" s="2" t="s">
        <v>8</v>
      </c>
      <c r="AF51" s="14"/>
    </row>
    <row r="52" spans="1:32" customFormat="1" x14ac:dyDescent="0.25">
      <c r="A52" s="9"/>
      <c r="C52" s="14"/>
      <c r="E52" t="str">
        <f>IF(ISNA(VLOOKUP(C52,P:Q,2,0)),"",VLOOKUP(C52,P:Q,2,0))</f>
        <v/>
      </c>
      <c r="F52" s="15" t="str">
        <f>IF(ISNA(VLOOKUP(C52,P:R,3,0)),"",VLOOKUP(C52,P:R,3,0))</f>
        <v/>
      </c>
      <c r="G52">
        <f>ROUND(IF(D52&gt;0,0,ABS(D52)),2)</f>
        <v>0</v>
      </c>
      <c r="H52">
        <f>ROUND(IF(D52&gt;0,D52,),2)</f>
        <v>0</v>
      </c>
      <c r="K52" s="7"/>
      <c r="L52" s="9"/>
      <c r="M52" s="9"/>
      <c r="N52" s="7"/>
      <c r="P52" s="18">
        <v>502113511</v>
      </c>
      <c r="Q52" s="2">
        <v>0</v>
      </c>
      <c r="R52" s="2" t="s">
        <v>8</v>
      </c>
      <c r="AF52" s="14"/>
    </row>
    <row r="53" spans="1:32" customFormat="1" x14ac:dyDescent="0.25">
      <c r="A53" s="9"/>
      <c r="C53" s="14"/>
      <c r="E53" t="str">
        <f>IF(ISNA(VLOOKUP(C53,P:Q,2,0)),"",VLOOKUP(C53,P:Q,2,0))</f>
        <v/>
      </c>
      <c r="F53" s="15" t="str">
        <f>IF(ISNA(VLOOKUP(C53,P:R,3,0)),"",VLOOKUP(C53,P:R,3,0))</f>
        <v/>
      </c>
      <c r="G53">
        <f>ROUND(IF(D53&gt;0,0,ABS(D53)),2)</f>
        <v>0</v>
      </c>
      <c r="H53">
        <f>ROUND(IF(D53&gt;0,D53,),2)</f>
        <v>0</v>
      </c>
      <c r="K53" s="7"/>
      <c r="L53" s="9"/>
      <c r="M53" s="9"/>
      <c r="N53" s="7"/>
      <c r="P53" s="18">
        <v>502113514</v>
      </c>
      <c r="Q53" s="2">
        <v>0</v>
      </c>
      <c r="R53" s="2" t="s">
        <v>8</v>
      </c>
      <c r="AF53" s="14"/>
    </row>
    <row r="54" spans="1:32" customFormat="1" x14ac:dyDescent="0.25">
      <c r="A54" s="9"/>
      <c r="C54" s="14"/>
      <c r="E54" t="str">
        <f>IF(ISNA(VLOOKUP(C54,P:Q,2,0)),"",VLOOKUP(C54,P:Q,2,0))</f>
        <v/>
      </c>
      <c r="F54" s="15" t="str">
        <f>IF(ISNA(VLOOKUP(C54,P:R,3,0)),"",VLOOKUP(C54,P:R,3,0))</f>
        <v/>
      </c>
      <c r="G54">
        <f>ROUND(IF(D54&gt;0,0,ABS(D54)),2)</f>
        <v>0</v>
      </c>
      <c r="H54">
        <f>ROUND(IF(D54&gt;0,D54,),2)</f>
        <v>0</v>
      </c>
      <c r="K54" s="7"/>
      <c r="L54" s="9"/>
      <c r="M54" s="9"/>
      <c r="N54" s="7"/>
      <c r="P54" s="18">
        <v>502113515</v>
      </c>
      <c r="Q54" s="2">
        <v>0</v>
      </c>
      <c r="R54" s="2" t="s">
        <v>8</v>
      </c>
      <c r="AF54" s="14"/>
    </row>
    <row r="55" spans="1:32" customFormat="1" x14ac:dyDescent="0.25">
      <c r="A55" s="9"/>
      <c r="C55" s="14"/>
      <c r="E55" t="str">
        <f>IF(ISNA(VLOOKUP(C55,P:Q,2,0)),"",VLOOKUP(C55,P:Q,2,0))</f>
        <v/>
      </c>
      <c r="F55" s="15" t="str">
        <f>IF(ISNA(VLOOKUP(C55,P:R,3,0)),"",VLOOKUP(C55,P:R,3,0))</f>
        <v/>
      </c>
      <c r="G55">
        <f>ROUND(IF(D55&gt;0,0,ABS(D55)),2)</f>
        <v>0</v>
      </c>
      <c r="H55">
        <f>ROUND(IF(D55&gt;0,D55,),2)</f>
        <v>0</v>
      </c>
      <c r="K55" s="7"/>
      <c r="L55" s="9"/>
      <c r="M55" s="9"/>
      <c r="N55" s="7"/>
      <c r="P55" s="18">
        <v>502113520</v>
      </c>
      <c r="Q55" s="2">
        <v>0</v>
      </c>
      <c r="R55" s="2" t="s">
        <v>8</v>
      </c>
      <c r="AF55" s="14"/>
    </row>
    <row r="56" spans="1:32" customFormat="1" x14ac:dyDescent="0.25">
      <c r="A56" s="9"/>
      <c r="C56" s="14"/>
      <c r="E56" t="str">
        <f>IF(ISNA(VLOOKUP(C56,P:Q,2,0)),"",VLOOKUP(C56,P:Q,2,0))</f>
        <v/>
      </c>
      <c r="F56" s="15" t="str">
        <f>IF(ISNA(VLOOKUP(C56,P:R,3,0)),"",VLOOKUP(C56,P:R,3,0))</f>
        <v/>
      </c>
      <c r="G56">
        <f>ROUND(IF(D56&gt;0,0,ABS(D56)),2)</f>
        <v>0</v>
      </c>
      <c r="H56">
        <f>ROUND(IF(D56&gt;0,D56,),2)</f>
        <v>0</v>
      </c>
      <c r="K56" s="7"/>
      <c r="L56" s="9"/>
      <c r="M56" s="9"/>
      <c r="N56" s="7"/>
      <c r="P56" s="18">
        <v>502113521</v>
      </c>
      <c r="Q56" s="2">
        <v>0</v>
      </c>
      <c r="R56" s="2" t="s">
        <v>8</v>
      </c>
      <c r="AF56" s="14"/>
    </row>
    <row r="57" spans="1:32" customFormat="1" x14ac:dyDescent="0.25">
      <c r="A57" s="9"/>
      <c r="C57" s="14"/>
      <c r="E57" t="str">
        <f>IF(ISNA(VLOOKUP(C57,P:Q,2,0)),"",VLOOKUP(C57,P:Q,2,0))</f>
        <v/>
      </c>
      <c r="F57" s="15" t="str">
        <f>IF(ISNA(VLOOKUP(C57,P:R,3,0)),"",VLOOKUP(C57,P:R,3,0))</f>
        <v/>
      </c>
      <c r="G57">
        <f>ROUND(IF(D57&gt;0,0,ABS(D57)),2)</f>
        <v>0</v>
      </c>
      <c r="H57">
        <f>ROUND(IF(D57&gt;0,D57,),2)</f>
        <v>0</v>
      </c>
      <c r="K57" s="7"/>
      <c r="L57" s="9"/>
      <c r="M57" s="9"/>
      <c r="N57" s="7"/>
      <c r="P57" s="18">
        <v>502113524</v>
      </c>
      <c r="Q57" s="2">
        <v>0</v>
      </c>
      <c r="R57" s="2" t="s">
        <v>8</v>
      </c>
      <c r="AF57" s="14"/>
    </row>
    <row r="58" spans="1:32" customFormat="1" x14ac:dyDescent="0.25">
      <c r="A58" s="9"/>
      <c r="C58" s="14"/>
      <c r="E58" t="str">
        <f>IF(ISNA(VLOOKUP(C58,P:Q,2,0)),"",VLOOKUP(C58,P:Q,2,0))</f>
        <v/>
      </c>
      <c r="F58" s="15" t="str">
        <f>IF(ISNA(VLOOKUP(C58,P:R,3,0)),"",VLOOKUP(C58,P:R,3,0))</f>
        <v/>
      </c>
      <c r="G58">
        <f>ROUND(IF(D58&gt;0,0,ABS(D58)),2)</f>
        <v>0</v>
      </c>
      <c r="H58">
        <f>ROUND(IF(D58&gt;0,D58,),2)</f>
        <v>0</v>
      </c>
      <c r="K58" s="7"/>
      <c r="L58" s="9"/>
      <c r="M58" s="9"/>
      <c r="N58" s="7"/>
      <c r="P58" s="18">
        <v>502113525</v>
      </c>
      <c r="Q58" s="2">
        <v>0</v>
      </c>
      <c r="R58" s="2" t="s">
        <v>8</v>
      </c>
      <c r="AF58" s="14"/>
    </row>
    <row r="59" spans="1:32" customFormat="1" x14ac:dyDescent="0.25">
      <c r="A59" s="9"/>
      <c r="C59" s="14"/>
      <c r="E59" t="str">
        <f>IF(ISNA(VLOOKUP(C59,P:Q,2,0)),"",VLOOKUP(C59,P:Q,2,0))</f>
        <v/>
      </c>
      <c r="F59" s="15" t="str">
        <f>IF(ISNA(VLOOKUP(C59,P:R,3,0)),"",VLOOKUP(C59,P:R,3,0))</f>
        <v/>
      </c>
      <c r="G59">
        <f>ROUND(IF(D59&gt;0,0,ABS(D59)),2)</f>
        <v>0</v>
      </c>
      <c r="H59">
        <f>ROUND(IF(D59&gt;0,D59,),2)</f>
        <v>0</v>
      </c>
      <c r="K59" s="7"/>
      <c r="L59" s="9"/>
      <c r="M59" s="9"/>
      <c r="N59" s="7"/>
      <c r="P59" s="18">
        <v>502113530</v>
      </c>
      <c r="Q59" s="2">
        <v>0</v>
      </c>
      <c r="R59" s="2" t="s">
        <v>8</v>
      </c>
      <c r="AF59" s="14"/>
    </row>
    <row r="60" spans="1:32" customFormat="1" x14ac:dyDescent="0.25">
      <c r="A60" s="9"/>
      <c r="C60" s="14"/>
      <c r="E60" t="str">
        <f>IF(ISNA(VLOOKUP(C60,P:Q,2,0)),"",VLOOKUP(C60,P:Q,2,0))</f>
        <v/>
      </c>
      <c r="F60" s="15" t="str">
        <f>IF(ISNA(VLOOKUP(C60,P:R,3,0)),"",VLOOKUP(C60,P:R,3,0))</f>
        <v/>
      </c>
      <c r="G60">
        <f>ROUND(IF(D60&gt;0,0,ABS(D60)),2)</f>
        <v>0</v>
      </c>
      <c r="H60">
        <f>ROUND(IF(D60&gt;0,D60,),2)</f>
        <v>0</v>
      </c>
      <c r="K60" s="7"/>
      <c r="L60" s="9"/>
      <c r="M60" s="9"/>
      <c r="N60" s="7"/>
      <c r="P60" s="18">
        <v>502113531</v>
      </c>
      <c r="Q60" s="2">
        <v>0</v>
      </c>
      <c r="R60" s="2" t="s">
        <v>8</v>
      </c>
      <c r="AF60" s="14"/>
    </row>
    <row r="61" spans="1:32" customFormat="1" x14ac:dyDescent="0.25">
      <c r="A61" s="9"/>
      <c r="C61" s="14"/>
      <c r="E61" t="str">
        <f>IF(ISNA(VLOOKUP(C61,P:Q,2,0)),"",VLOOKUP(C61,P:Q,2,0))</f>
        <v/>
      </c>
      <c r="F61" s="15" t="str">
        <f>IF(ISNA(VLOOKUP(C61,P:R,3,0)),"",VLOOKUP(C61,P:R,3,0))</f>
        <v/>
      </c>
      <c r="G61">
        <f>ROUND(IF(D61&gt;0,0,ABS(D61)),2)</f>
        <v>0</v>
      </c>
      <c r="H61">
        <f>ROUND(IF(D61&gt;0,D61,),2)</f>
        <v>0</v>
      </c>
      <c r="K61" s="7"/>
      <c r="L61" s="9"/>
      <c r="M61" s="9"/>
      <c r="N61" s="7"/>
      <c r="P61" s="18">
        <v>502113534</v>
      </c>
      <c r="Q61" s="2">
        <v>0</v>
      </c>
      <c r="R61" s="2" t="s">
        <v>8</v>
      </c>
      <c r="AF61" s="14"/>
    </row>
    <row r="62" spans="1:32" customFormat="1" x14ac:dyDescent="0.25">
      <c r="A62" s="9"/>
      <c r="C62" s="14"/>
      <c r="E62" t="str">
        <f>IF(ISNA(VLOOKUP(C62,P:Q,2,0)),"",VLOOKUP(C62,P:Q,2,0))</f>
        <v/>
      </c>
      <c r="F62" s="15" t="str">
        <f>IF(ISNA(VLOOKUP(C62,P:R,3,0)),"",VLOOKUP(C62,P:R,3,0))</f>
        <v/>
      </c>
      <c r="G62">
        <f>ROUND(IF(D62&gt;0,0,ABS(D62)),2)</f>
        <v>0</v>
      </c>
      <c r="H62">
        <f>ROUND(IF(D62&gt;0,D62,),2)</f>
        <v>0</v>
      </c>
      <c r="K62" s="7"/>
      <c r="L62" s="9"/>
      <c r="M62" s="9"/>
      <c r="N62" s="7"/>
      <c r="P62" s="18">
        <v>502113535</v>
      </c>
      <c r="Q62" s="2">
        <v>0</v>
      </c>
      <c r="R62" s="2" t="s">
        <v>8</v>
      </c>
      <c r="AF62" s="14"/>
    </row>
    <row r="63" spans="1:32" customFormat="1" x14ac:dyDescent="0.25">
      <c r="A63" s="9"/>
      <c r="C63" s="14"/>
      <c r="E63" t="str">
        <f>IF(ISNA(VLOOKUP(C63,P:Q,2,0)),"",VLOOKUP(C63,P:Q,2,0))</f>
        <v/>
      </c>
      <c r="F63" s="15" t="str">
        <f>IF(ISNA(VLOOKUP(C63,P:R,3,0)),"",VLOOKUP(C63,P:R,3,0))</f>
        <v/>
      </c>
      <c r="G63">
        <f>ROUND(IF(D63&gt;0,0,ABS(D63)),2)</f>
        <v>0</v>
      </c>
      <c r="H63">
        <f>ROUND(IF(D63&gt;0,D63,),2)</f>
        <v>0</v>
      </c>
      <c r="K63" s="7"/>
      <c r="L63" s="9"/>
      <c r="M63" s="9"/>
      <c r="N63" s="7"/>
      <c r="P63" s="18">
        <v>502114101</v>
      </c>
      <c r="Q63" s="2">
        <v>0</v>
      </c>
      <c r="R63" s="2" t="s">
        <v>8</v>
      </c>
      <c r="AF63" s="14"/>
    </row>
    <row r="64" spans="1:32" customFormat="1" x14ac:dyDescent="0.25">
      <c r="A64" s="9"/>
      <c r="C64" s="14"/>
      <c r="E64" t="str">
        <f>IF(ISNA(VLOOKUP(C64,P:Q,2,0)),"",VLOOKUP(C64,P:Q,2,0))</f>
        <v/>
      </c>
      <c r="F64" s="15" t="str">
        <f>IF(ISNA(VLOOKUP(C64,P:R,3,0)),"",VLOOKUP(C64,P:R,3,0))</f>
        <v/>
      </c>
      <c r="G64">
        <f>ROUND(IF(D64&gt;0,0,ABS(D64)),2)</f>
        <v>0</v>
      </c>
      <c r="H64">
        <f>ROUND(IF(D64&gt;0,D64,),2)</f>
        <v>0</v>
      </c>
      <c r="K64" s="7"/>
      <c r="L64" s="9"/>
      <c r="M64" s="9"/>
      <c r="N64" s="7"/>
      <c r="P64" s="18">
        <v>510000100</v>
      </c>
      <c r="Q64" s="2">
        <v>0</v>
      </c>
      <c r="R64" s="2" t="s">
        <v>8</v>
      </c>
      <c r="AF64" s="14"/>
    </row>
    <row r="65" spans="1:32" customFormat="1" x14ac:dyDescent="0.25">
      <c r="A65" s="9"/>
      <c r="C65" s="14"/>
      <c r="E65" t="str">
        <f>IF(ISNA(VLOOKUP(C65,P:Q,2,0)),"",VLOOKUP(C65,P:Q,2,0))</f>
        <v/>
      </c>
      <c r="F65" s="15" t="str">
        <f>IF(ISNA(VLOOKUP(C65,P:R,3,0)),"",VLOOKUP(C65,P:R,3,0))</f>
        <v/>
      </c>
      <c r="G65">
        <f>ROUND(IF(D65&gt;0,0,ABS(D65)),2)</f>
        <v>0</v>
      </c>
      <c r="H65">
        <f>ROUND(IF(D65&gt;0,D65,),2)</f>
        <v>0</v>
      </c>
      <c r="K65" s="7"/>
      <c r="L65" s="9"/>
      <c r="M65" s="9"/>
      <c r="N65" s="7"/>
      <c r="P65" s="18">
        <v>510000111</v>
      </c>
      <c r="Q65" s="2">
        <v>0</v>
      </c>
      <c r="R65" s="2" t="s">
        <v>8</v>
      </c>
      <c r="AF65" s="14"/>
    </row>
    <row r="66" spans="1:32" customFormat="1" x14ac:dyDescent="0.25">
      <c r="A66" s="9"/>
      <c r="C66" s="14"/>
      <c r="E66" t="str">
        <f>IF(ISNA(VLOOKUP(C66,P:Q,2,0)),"",VLOOKUP(C66,P:Q,2,0))</f>
        <v/>
      </c>
      <c r="F66" s="15" t="str">
        <f>IF(ISNA(VLOOKUP(C66,P:R,3,0)),"",VLOOKUP(C66,P:R,3,0))</f>
        <v/>
      </c>
      <c r="G66">
        <f>ROUND(IF(D66&gt;0,0,ABS(D66)),2)</f>
        <v>0</v>
      </c>
      <c r="H66">
        <f>ROUND(IF(D66&gt;0,D66,),2)</f>
        <v>0</v>
      </c>
      <c r="K66" s="7"/>
      <c r="L66" s="9"/>
      <c r="M66" s="9"/>
      <c r="N66" s="7"/>
      <c r="P66" s="18">
        <v>510000112</v>
      </c>
      <c r="Q66" s="2">
        <v>0</v>
      </c>
      <c r="R66" s="2" t="s">
        <v>8</v>
      </c>
      <c r="AF66" s="14"/>
    </row>
    <row r="67" spans="1:32" customFormat="1" x14ac:dyDescent="0.25">
      <c r="A67" s="9"/>
      <c r="C67" s="14"/>
      <c r="E67" t="str">
        <f>IF(ISNA(VLOOKUP(C67,P:Q,2,0)),"",VLOOKUP(C67,P:Q,2,0))</f>
        <v/>
      </c>
      <c r="F67" s="15" t="str">
        <f>IF(ISNA(VLOOKUP(C67,P:R,3,0)),"",VLOOKUP(C67,P:R,3,0))</f>
        <v/>
      </c>
      <c r="G67">
        <f>ROUND(IF(D67&gt;0,0,ABS(D67)),2)</f>
        <v>0</v>
      </c>
      <c r="H67">
        <f>ROUND(IF(D67&gt;0,D67,),2)</f>
        <v>0</v>
      </c>
      <c r="K67" s="7"/>
      <c r="L67" s="9"/>
      <c r="M67" s="9"/>
      <c r="N67" s="7"/>
      <c r="P67" s="18">
        <v>510019000</v>
      </c>
      <c r="Q67" s="2">
        <v>0</v>
      </c>
      <c r="R67" s="2" t="s">
        <v>8</v>
      </c>
      <c r="AF67" s="14"/>
    </row>
    <row r="68" spans="1:32" customFormat="1" x14ac:dyDescent="0.25">
      <c r="A68" s="9"/>
      <c r="C68" s="14"/>
      <c r="E68" t="str">
        <f>IF(ISNA(VLOOKUP(C68,P:Q,2,0)),"",VLOOKUP(C68,P:Q,2,0))</f>
        <v/>
      </c>
      <c r="F68" s="15" t="str">
        <f>IF(ISNA(VLOOKUP(C68,P:R,3,0)),"",VLOOKUP(C68,P:R,3,0))</f>
        <v/>
      </c>
      <c r="G68">
        <f>ROUND(IF(D68&gt;0,0,ABS(D68)),2)</f>
        <v>0</v>
      </c>
      <c r="H68">
        <f>ROUND(IF(D68&gt;0,D68,),2)</f>
        <v>0</v>
      </c>
      <c r="K68" s="7"/>
      <c r="L68" s="9"/>
      <c r="M68" s="9"/>
      <c r="N68" s="7"/>
      <c r="P68" s="18">
        <v>511000001</v>
      </c>
      <c r="Q68" s="2">
        <v>0</v>
      </c>
      <c r="R68" s="2" t="s">
        <v>8</v>
      </c>
      <c r="AF68" s="14"/>
    </row>
    <row r="69" spans="1:32" customFormat="1" x14ac:dyDescent="0.25">
      <c r="A69" s="9"/>
      <c r="C69" s="14"/>
      <c r="E69" t="str">
        <f>IF(ISNA(VLOOKUP(C69,P:Q,2,0)),"",VLOOKUP(C69,P:Q,2,0))</f>
        <v/>
      </c>
      <c r="F69" s="15" t="str">
        <f>IF(ISNA(VLOOKUP(C69,P:R,3,0)),"",VLOOKUP(C69,P:R,3,0))</f>
        <v/>
      </c>
      <c r="G69">
        <f>ROUND(IF(D69&gt;0,0,ABS(D69)),2)</f>
        <v>0</v>
      </c>
      <c r="H69">
        <f>ROUND(IF(D69&gt;0,D69,),2)</f>
        <v>0</v>
      </c>
      <c r="K69" s="7"/>
      <c r="L69" s="9"/>
      <c r="M69" s="9"/>
      <c r="N69" s="7"/>
      <c r="P69" s="18">
        <v>511000002</v>
      </c>
      <c r="Q69" s="2">
        <v>0</v>
      </c>
      <c r="R69" s="2" t="s">
        <v>8</v>
      </c>
      <c r="AF69" s="14"/>
    </row>
    <row r="70" spans="1:32" customFormat="1" x14ac:dyDescent="0.25">
      <c r="A70" s="9"/>
      <c r="C70" s="14"/>
      <c r="E70" t="str">
        <f>IF(ISNA(VLOOKUP(C70,P:Q,2,0)),"",VLOOKUP(C70,P:Q,2,0))</f>
        <v/>
      </c>
      <c r="F70" s="15" t="str">
        <f>IF(ISNA(VLOOKUP(C70,P:R,3,0)),"",VLOOKUP(C70,P:R,3,0))</f>
        <v/>
      </c>
      <c r="G70">
        <f>ROUND(IF(D70&gt;0,0,ABS(D70)),2)</f>
        <v>0</v>
      </c>
      <c r="H70">
        <f>ROUND(IF(D70&gt;0,D70,),2)</f>
        <v>0</v>
      </c>
      <c r="K70" s="7"/>
      <c r="L70" s="9"/>
      <c r="M70" s="9"/>
      <c r="N70" s="7"/>
      <c r="P70" s="18">
        <v>511000004</v>
      </c>
      <c r="Q70" s="2">
        <v>0</v>
      </c>
      <c r="R70" s="2" t="s">
        <v>8</v>
      </c>
      <c r="AF70" s="14"/>
    </row>
    <row r="71" spans="1:32" customFormat="1" x14ac:dyDescent="0.25">
      <c r="A71" s="9"/>
      <c r="C71" s="14"/>
      <c r="E71" t="str">
        <f>IF(ISNA(VLOOKUP(C71,P:Q,2,0)),"",VLOOKUP(C71,P:Q,2,0))</f>
        <v/>
      </c>
      <c r="F71" s="15" t="str">
        <f>IF(ISNA(VLOOKUP(C71,P:R,3,0)),"",VLOOKUP(C71,P:R,3,0))</f>
        <v/>
      </c>
      <c r="G71">
        <f>ROUND(IF(D71&gt;0,0,ABS(D71)),2)</f>
        <v>0</v>
      </c>
      <c r="H71">
        <f>ROUND(IF(D71&gt;0,D71,),2)</f>
        <v>0</v>
      </c>
      <c r="K71" s="7"/>
      <c r="L71" s="9"/>
      <c r="M71" s="9"/>
      <c r="N71" s="7"/>
      <c r="P71" s="18">
        <v>511000010</v>
      </c>
      <c r="Q71" s="2">
        <v>0</v>
      </c>
      <c r="R71" s="2" t="s">
        <v>8</v>
      </c>
      <c r="AF71" s="14"/>
    </row>
    <row r="72" spans="1:32" customFormat="1" x14ac:dyDescent="0.25">
      <c r="A72" s="9"/>
      <c r="C72" s="14"/>
      <c r="E72" t="str">
        <f>IF(ISNA(VLOOKUP(C72,P:Q,2,0)),"",VLOOKUP(C72,P:Q,2,0))</f>
        <v/>
      </c>
      <c r="F72" s="15" t="str">
        <f>IF(ISNA(VLOOKUP(C72,P:R,3,0)),"",VLOOKUP(C72,P:R,3,0))</f>
        <v/>
      </c>
      <c r="G72">
        <f>ROUND(IF(D72&gt;0,0,ABS(D72)),2)</f>
        <v>0</v>
      </c>
      <c r="H72">
        <f>ROUND(IF(D72&gt;0,D72,),2)</f>
        <v>0</v>
      </c>
      <c r="K72" s="7"/>
      <c r="L72" s="9"/>
      <c r="M72" s="9"/>
      <c r="N72" s="7"/>
      <c r="P72" s="18">
        <v>511000013</v>
      </c>
      <c r="Q72" s="2">
        <v>0</v>
      </c>
      <c r="R72" s="2" t="s">
        <v>8</v>
      </c>
      <c r="AF72" s="14"/>
    </row>
    <row r="73" spans="1:32" customFormat="1" x14ac:dyDescent="0.25">
      <c r="A73" s="9"/>
      <c r="C73" s="14"/>
      <c r="E73" t="str">
        <f>IF(ISNA(VLOOKUP(C73,P:Q,2,0)),"",VLOOKUP(C73,P:Q,2,0))</f>
        <v/>
      </c>
      <c r="F73" s="15" t="str">
        <f>IF(ISNA(VLOOKUP(C73,P:R,3,0)),"",VLOOKUP(C73,P:R,3,0))</f>
        <v/>
      </c>
      <c r="G73">
        <f>ROUND(IF(D73&gt;0,0,ABS(D73)),2)</f>
        <v>0</v>
      </c>
      <c r="H73">
        <f>ROUND(IF(D73&gt;0,D73,),2)</f>
        <v>0</v>
      </c>
      <c r="K73" s="7"/>
      <c r="L73" s="9"/>
      <c r="M73" s="9"/>
      <c r="N73" s="7"/>
      <c r="P73" s="18">
        <v>511000014</v>
      </c>
      <c r="Q73" s="2">
        <v>0</v>
      </c>
      <c r="R73" s="2" t="s">
        <v>8</v>
      </c>
      <c r="AF73" s="14"/>
    </row>
    <row r="74" spans="1:32" customFormat="1" x14ac:dyDescent="0.25">
      <c r="A74" s="9"/>
      <c r="C74" s="14"/>
      <c r="E74" t="str">
        <f>IF(ISNA(VLOOKUP(C74,P:Q,2,0)),"",VLOOKUP(C74,P:Q,2,0))</f>
        <v/>
      </c>
      <c r="F74" s="15" t="str">
        <f>IF(ISNA(VLOOKUP(C74,P:R,3,0)),"",VLOOKUP(C74,P:R,3,0))</f>
        <v/>
      </c>
      <c r="G74">
        <f>ROUND(IF(D74&gt;0,0,ABS(D74)),2)</f>
        <v>0</v>
      </c>
      <c r="H74">
        <f>ROUND(IF(D74&gt;0,D74,),2)</f>
        <v>0</v>
      </c>
      <c r="K74" s="7"/>
      <c r="L74" s="9"/>
      <c r="M74" s="9"/>
      <c r="N74" s="7"/>
      <c r="P74" s="18">
        <v>511000019</v>
      </c>
      <c r="Q74" s="2">
        <v>0</v>
      </c>
      <c r="R74" s="2" t="s">
        <v>8</v>
      </c>
      <c r="AF74" s="14"/>
    </row>
    <row r="75" spans="1:32" customFormat="1" x14ac:dyDescent="0.25">
      <c r="A75" s="9"/>
      <c r="C75" s="14"/>
      <c r="E75" t="str">
        <f>IF(ISNA(VLOOKUP(C75,P:Q,2,0)),"",VLOOKUP(C75,P:Q,2,0))</f>
        <v/>
      </c>
      <c r="F75" s="15" t="str">
        <f>IF(ISNA(VLOOKUP(C75,P:R,3,0)),"",VLOOKUP(C75,P:R,3,0))</f>
        <v/>
      </c>
      <c r="G75">
        <f>ROUND(IF(D75&gt;0,0,ABS(D75)),2)</f>
        <v>0</v>
      </c>
      <c r="H75">
        <f>ROUND(IF(D75&gt;0,D75,),2)</f>
        <v>0</v>
      </c>
      <c r="K75" s="7"/>
      <c r="L75" s="9"/>
      <c r="M75" s="9"/>
      <c r="N75" s="7"/>
      <c r="P75" s="18">
        <v>511000030</v>
      </c>
      <c r="Q75" s="2">
        <v>0</v>
      </c>
      <c r="R75" s="2" t="s">
        <v>8</v>
      </c>
      <c r="AF75" s="14"/>
    </row>
    <row r="76" spans="1:32" customFormat="1" x14ac:dyDescent="0.25">
      <c r="A76" s="9"/>
      <c r="C76" s="14"/>
      <c r="E76" t="str">
        <f>IF(ISNA(VLOOKUP(C76,P:Q,2,0)),"",VLOOKUP(C76,P:Q,2,0))</f>
        <v/>
      </c>
      <c r="F76" s="15" t="str">
        <f>IF(ISNA(VLOOKUP(C76,P:R,3,0)),"",VLOOKUP(C76,P:R,3,0))</f>
        <v/>
      </c>
      <c r="G76">
        <f>ROUND(IF(D76&gt;0,0,ABS(D76)),2)</f>
        <v>0</v>
      </c>
      <c r="H76">
        <f>ROUND(IF(D76&gt;0,D76,),2)</f>
        <v>0</v>
      </c>
      <c r="K76" s="7"/>
      <c r="L76" s="9"/>
      <c r="M76" s="9"/>
      <c r="N76" s="7"/>
      <c r="P76" s="18">
        <v>511000102</v>
      </c>
      <c r="Q76" s="2">
        <v>0</v>
      </c>
      <c r="R76" s="2" t="s">
        <v>8</v>
      </c>
      <c r="AF76" s="14"/>
    </row>
    <row r="77" spans="1:32" customFormat="1" x14ac:dyDescent="0.25">
      <c r="A77" s="9"/>
      <c r="C77" s="14"/>
      <c r="E77" t="str">
        <f>IF(ISNA(VLOOKUP(C77,P:Q,2,0)),"",VLOOKUP(C77,P:Q,2,0))</f>
        <v/>
      </c>
      <c r="F77" s="15" t="str">
        <f>IF(ISNA(VLOOKUP(C77,P:R,3,0)),"",VLOOKUP(C77,P:R,3,0))</f>
        <v/>
      </c>
      <c r="G77">
        <f>ROUND(IF(D77&gt;0,0,ABS(D77)),2)</f>
        <v>0</v>
      </c>
      <c r="H77">
        <f>ROUND(IF(D77&gt;0,D77,),2)</f>
        <v>0</v>
      </c>
      <c r="K77" s="7"/>
      <c r="L77" s="9"/>
      <c r="M77" s="9"/>
      <c r="N77" s="7"/>
      <c r="P77" s="18">
        <v>512000000</v>
      </c>
      <c r="Q77" s="2">
        <v>0</v>
      </c>
      <c r="R77" s="2" t="s">
        <v>8</v>
      </c>
      <c r="AF77" s="14"/>
    </row>
    <row r="78" spans="1:32" customFormat="1" x14ac:dyDescent="0.25">
      <c r="A78" s="9"/>
      <c r="C78" s="14"/>
      <c r="E78" t="str">
        <f>IF(ISNA(VLOOKUP(C78,P:Q,2,0)),"",VLOOKUP(C78,P:Q,2,0))</f>
        <v/>
      </c>
      <c r="F78" s="15" t="str">
        <f>IF(ISNA(VLOOKUP(C78,P:R,3,0)),"",VLOOKUP(C78,P:R,3,0))</f>
        <v/>
      </c>
      <c r="G78">
        <f>ROUND(IF(D78&gt;0,0,ABS(D78)),2)</f>
        <v>0</v>
      </c>
      <c r="H78">
        <f>ROUND(IF(D78&gt;0,D78,),2)</f>
        <v>0</v>
      </c>
      <c r="K78" s="7"/>
      <c r="L78" s="9"/>
      <c r="M78" s="9"/>
      <c r="N78" s="7"/>
      <c r="P78" s="18">
        <v>512100400</v>
      </c>
      <c r="Q78" s="2">
        <v>0</v>
      </c>
      <c r="R78" s="2" t="s">
        <v>8</v>
      </c>
      <c r="AF78" s="14"/>
    </row>
    <row r="79" spans="1:32" customFormat="1" x14ac:dyDescent="0.25">
      <c r="A79" s="9"/>
      <c r="C79" s="14"/>
      <c r="E79" t="str">
        <f>IF(ISNA(VLOOKUP(C79,P:Q,2,0)),"",VLOOKUP(C79,P:Q,2,0))</f>
        <v/>
      </c>
      <c r="F79" s="15" t="str">
        <f>IF(ISNA(VLOOKUP(C79,P:R,3,0)),"",VLOOKUP(C79,P:R,3,0))</f>
        <v/>
      </c>
      <c r="G79">
        <f>ROUND(IF(D79&gt;0,0,ABS(D79)),2)</f>
        <v>0</v>
      </c>
      <c r="H79">
        <f>ROUND(IF(D79&gt;0,D79,),2)</f>
        <v>0</v>
      </c>
      <c r="K79" s="7"/>
      <c r="L79" s="9"/>
      <c r="M79" s="9"/>
      <c r="N79" s="7"/>
      <c r="P79" s="18">
        <v>512106900</v>
      </c>
      <c r="Q79" s="2">
        <v>0</v>
      </c>
      <c r="R79" s="2" t="s">
        <v>8</v>
      </c>
      <c r="AF79" s="14"/>
    </row>
    <row r="80" spans="1:32" customFormat="1" x14ac:dyDescent="0.25">
      <c r="A80" s="9"/>
      <c r="C80" s="14"/>
      <c r="E80" t="str">
        <f>IF(ISNA(VLOOKUP(C80,P:Q,2,0)),"",VLOOKUP(C80,P:Q,2,0))</f>
        <v/>
      </c>
      <c r="F80" s="15" t="str">
        <f>IF(ISNA(VLOOKUP(C80,P:R,3,0)),"",VLOOKUP(C80,P:R,3,0))</f>
        <v/>
      </c>
      <c r="G80">
        <f>ROUND(IF(D80&gt;0,0,ABS(D80)),2)</f>
        <v>0</v>
      </c>
      <c r="H80">
        <f>ROUND(IF(D80&gt;0,D80,),2)</f>
        <v>0</v>
      </c>
      <c r="K80" s="7"/>
      <c r="L80" s="9"/>
      <c r="M80" s="9"/>
      <c r="N80" s="7"/>
      <c r="P80" s="18">
        <v>512107900</v>
      </c>
      <c r="Q80" s="2">
        <v>0</v>
      </c>
      <c r="R80" s="2" t="s">
        <v>8</v>
      </c>
      <c r="AF80" s="14"/>
    </row>
    <row r="81" spans="1:32" customFormat="1" x14ac:dyDescent="0.25">
      <c r="A81" s="9"/>
      <c r="C81" s="14"/>
      <c r="E81" t="str">
        <f>IF(ISNA(VLOOKUP(C81,P:Q,2,0)),"",VLOOKUP(C81,P:Q,2,0))</f>
        <v/>
      </c>
      <c r="F81" s="15" t="str">
        <f>IF(ISNA(VLOOKUP(C81,P:R,3,0)),"",VLOOKUP(C81,P:R,3,0))</f>
        <v/>
      </c>
      <c r="G81">
        <f>ROUND(IF(D81&gt;0,0,ABS(D81)),2)</f>
        <v>0</v>
      </c>
      <c r="H81">
        <f>ROUND(IF(D81&gt;0,D81,),2)</f>
        <v>0</v>
      </c>
      <c r="K81" s="7"/>
      <c r="L81" s="9"/>
      <c r="M81" s="9"/>
      <c r="N81" s="7"/>
      <c r="P81" s="18">
        <v>514000100</v>
      </c>
      <c r="Q81" s="2">
        <v>0</v>
      </c>
      <c r="R81" s="2" t="s">
        <v>8</v>
      </c>
      <c r="AF81" s="14"/>
    </row>
    <row r="82" spans="1:32" customFormat="1" x14ac:dyDescent="0.25">
      <c r="A82" s="9"/>
      <c r="C82" s="14"/>
      <c r="E82" t="str">
        <f>IF(ISNA(VLOOKUP(C82,P:Q,2,0)),"",VLOOKUP(C82,P:Q,2,0))</f>
        <v/>
      </c>
      <c r="F82" s="15" t="str">
        <f>IF(ISNA(VLOOKUP(C82,P:R,3,0)),"",VLOOKUP(C82,P:R,3,0))</f>
        <v/>
      </c>
      <c r="G82">
        <f>ROUND(IF(D82&gt;0,0,ABS(D82)),2)</f>
        <v>0</v>
      </c>
      <c r="H82">
        <f>ROUND(IF(D82&gt;0,D82,),2)</f>
        <v>0</v>
      </c>
      <c r="K82" s="7"/>
      <c r="L82" s="9"/>
      <c r="M82" s="9"/>
      <c r="N82" s="7"/>
      <c r="P82" s="18">
        <v>514107150</v>
      </c>
      <c r="Q82" s="2">
        <v>0</v>
      </c>
      <c r="R82" s="2" t="s">
        <v>8</v>
      </c>
      <c r="AF82" s="14"/>
    </row>
    <row r="83" spans="1:32" customFormat="1" x14ac:dyDescent="0.25">
      <c r="A83" s="9"/>
      <c r="C83" s="14"/>
      <c r="E83" t="str">
        <f>IF(ISNA(VLOOKUP(C83,P:Q,2,0)),"",VLOOKUP(C83,P:Q,2,0))</f>
        <v/>
      </c>
      <c r="F83" s="15" t="str">
        <f>IF(ISNA(VLOOKUP(C83,P:R,3,0)),"",VLOOKUP(C83,P:R,3,0))</f>
        <v/>
      </c>
      <c r="G83">
        <f>ROUND(IF(D83&gt;0,0,ABS(D83)),2)</f>
        <v>0</v>
      </c>
      <c r="H83">
        <f>ROUND(IF(D83&gt;0,D83,),2)</f>
        <v>0</v>
      </c>
      <c r="K83" s="7"/>
      <c r="L83" s="9"/>
      <c r="M83" s="9"/>
      <c r="N83" s="7"/>
      <c r="P83" s="18">
        <v>514107160</v>
      </c>
      <c r="Q83" s="2">
        <v>0</v>
      </c>
      <c r="R83" s="2" t="s">
        <v>8</v>
      </c>
      <c r="AF83" s="14"/>
    </row>
    <row r="84" spans="1:32" customFormat="1" x14ac:dyDescent="0.25">
      <c r="A84" s="9"/>
      <c r="C84" s="14"/>
      <c r="E84" t="str">
        <f>IF(ISNA(VLOOKUP(C84,P:Q,2,0)),"",VLOOKUP(C84,P:Q,2,0))</f>
        <v/>
      </c>
      <c r="F84" s="15" t="str">
        <f>IF(ISNA(VLOOKUP(C84,P:R,3,0)),"",VLOOKUP(C84,P:R,3,0))</f>
        <v/>
      </c>
      <c r="G84">
        <f>ROUND(IF(D84&gt;0,0,ABS(D84)),2)</f>
        <v>0</v>
      </c>
      <c r="H84">
        <f>ROUND(IF(D84&gt;0,D84,),2)</f>
        <v>0</v>
      </c>
      <c r="K84" s="7"/>
      <c r="L84" s="9"/>
      <c r="M84" s="9"/>
      <c r="N84" s="7"/>
      <c r="P84" s="18">
        <v>514107250</v>
      </c>
      <c r="Q84" s="2">
        <v>545</v>
      </c>
      <c r="R84" s="2" t="s">
        <v>8</v>
      </c>
      <c r="AF84" s="14"/>
    </row>
    <row r="85" spans="1:32" customFormat="1" x14ac:dyDescent="0.25">
      <c r="A85" s="9"/>
      <c r="C85" s="14"/>
      <c r="E85" t="str">
        <f>IF(ISNA(VLOOKUP(C85,P:Q,2,0)),"",VLOOKUP(C85,P:Q,2,0))</f>
        <v/>
      </c>
      <c r="F85" s="15" t="str">
        <f>IF(ISNA(VLOOKUP(C85,P:R,3,0)),"",VLOOKUP(C85,P:R,3,0))</f>
        <v/>
      </c>
      <c r="G85">
        <f>ROUND(IF(D85&gt;0,0,ABS(D85)),2)</f>
        <v>0</v>
      </c>
      <c r="H85">
        <f>ROUND(IF(D85&gt;0,D85,),2)</f>
        <v>0</v>
      </c>
      <c r="K85" s="7"/>
      <c r="L85" s="9"/>
      <c r="M85" s="9"/>
      <c r="N85" s="7"/>
      <c r="P85" s="18">
        <v>514107260</v>
      </c>
      <c r="Q85" s="2">
        <v>545</v>
      </c>
      <c r="R85" s="2" t="s">
        <v>8</v>
      </c>
      <c r="AF85" s="14"/>
    </row>
    <row r="86" spans="1:32" customFormat="1" x14ac:dyDescent="0.25">
      <c r="A86" s="9"/>
      <c r="C86" s="14"/>
      <c r="E86" t="str">
        <f>IF(ISNA(VLOOKUP(C86,P:Q,2,0)),"",VLOOKUP(C86,P:Q,2,0))</f>
        <v/>
      </c>
      <c r="F86" s="15" t="str">
        <f>IF(ISNA(VLOOKUP(C86,P:R,3,0)),"",VLOOKUP(C86,P:R,3,0))</f>
        <v/>
      </c>
      <c r="G86">
        <f>ROUND(IF(D86&gt;0,0,ABS(D86)),2)</f>
        <v>0</v>
      </c>
      <c r="H86">
        <f>ROUND(IF(D86&gt;0,D86,),2)</f>
        <v>0</v>
      </c>
      <c r="K86" s="7"/>
      <c r="L86" s="9"/>
      <c r="M86" s="9"/>
      <c r="N86" s="7"/>
      <c r="P86" s="18">
        <v>514107270</v>
      </c>
      <c r="Q86" s="2">
        <v>0</v>
      </c>
      <c r="R86" s="2" t="s">
        <v>8</v>
      </c>
      <c r="AF86" s="14"/>
    </row>
    <row r="87" spans="1:32" customFormat="1" x14ac:dyDescent="0.25">
      <c r="A87" s="9"/>
      <c r="C87" s="14"/>
      <c r="E87" t="str">
        <f>IF(ISNA(VLOOKUP(C87,P:Q,2,0)),"",VLOOKUP(C87,P:Q,2,0))</f>
        <v/>
      </c>
      <c r="F87" s="15" t="str">
        <f>IF(ISNA(VLOOKUP(C87,P:R,3,0)),"",VLOOKUP(C87,P:R,3,0))</f>
        <v/>
      </c>
      <c r="G87">
        <f>ROUND(IF(D87&gt;0,0,ABS(D87)),2)</f>
        <v>0</v>
      </c>
      <c r="H87">
        <f>ROUND(IF(D87&gt;0,D87,),2)</f>
        <v>0</v>
      </c>
      <c r="K87" s="7"/>
      <c r="L87" s="9"/>
      <c r="M87" s="9"/>
      <c r="N87" s="7"/>
      <c r="P87" s="18">
        <v>514108140</v>
      </c>
      <c r="Q87" s="2">
        <v>0</v>
      </c>
      <c r="R87" s="2" t="s">
        <v>8</v>
      </c>
      <c r="AF87" s="14"/>
    </row>
    <row r="88" spans="1:32" customFormat="1" x14ac:dyDescent="0.25">
      <c r="A88" s="9"/>
      <c r="C88" s="14"/>
      <c r="E88" t="str">
        <f>IF(ISNA(VLOOKUP(C88,P:Q,2,0)),"",VLOOKUP(C88,P:Q,2,0))</f>
        <v/>
      </c>
      <c r="F88" s="15" t="str">
        <f>IF(ISNA(VLOOKUP(C88,P:R,3,0)),"",VLOOKUP(C88,P:R,3,0))</f>
        <v/>
      </c>
      <c r="G88">
        <f>ROUND(IF(D88&gt;0,0,ABS(D88)),2)</f>
        <v>0</v>
      </c>
      <c r="H88">
        <f>ROUND(IF(D88&gt;0,D88,),2)</f>
        <v>0</v>
      </c>
      <c r="K88" s="7"/>
      <c r="L88" s="9"/>
      <c r="M88" s="9"/>
      <c r="N88" s="7"/>
      <c r="P88" s="18">
        <v>514800500</v>
      </c>
      <c r="Q88" s="2">
        <v>0</v>
      </c>
      <c r="R88" s="2" t="s">
        <v>8</v>
      </c>
      <c r="AF88" s="14"/>
    </row>
    <row r="89" spans="1:32" customFormat="1" x14ac:dyDescent="0.25">
      <c r="A89" s="9"/>
      <c r="C89" s="14"/>
      <c r="E89" t="str">
        <f>IF(ISNA(VLOOKUP(C89,P:Q,2,0)),"",VLOOKUP(C89,P:Q,2,0))</f>
        <v/>
      </c>
      <c r="F89" s="15" t="str">
        <f>IF(ISNA(VLOOKUP(C89,P:R,3,0)),"",VLOOKUP(C89,P:R,3,0))</f>
        <v/>
      </c>
      <c r="G89">
        <f>ROUND(IF(D89&gt;0,0,ABS(D89)),2)</f>
        <v>0</v>
      </c>
      <c r="H89">
        <f>ROUND(IF(D89&gt;0,D89,),2)</f>
        <v>0</v>
      </c>
      <c r="K89" s="7"/>
      <c r="L89" s="9"/>
      <c r="M89" s="9"/>
      <c r="N89" s="7"/>
      <c r="P89" s="18">
        <v>515000000</v>
      </c>
      <c r="Q89" s="2">
        <v>520</v>
      </c>
      <c r="R89" s="2" t="s">
        <v>8</v>
      </c>
      <c r="AF89" s="14"/>
    </row>
    <row r="90" spans="1:32" customFormat="1" x14ac:dyDescent="0.25">
      <c r="A90" s="9"/>
      <c r="C90" s="14"/>
      <c r="E90" t="str">
        <f>IF(ISNA(VLOOKUP(C90,P:Q,2,0)),"",VLOOKUP(C90,P:Q,2,0))</f>
        <v/>
      </c>
      <c r="F90" s="15" t="str">
        <f>IF(ISNA(VLOOKUP(C90,P:R,3,0)),"",VLOOKUP(C90,P:R,3,0))</f>
        <v/>
      </c>
      <c r="G90">
        <f>ROUND(IF(D90&gt;0,0,ABS(D90)),2)</f>
        <v>0</v>
      </c>
      <c r="H90">
        <f>ROUND(IF(D90&gt;0,D90,),2)</f>
        <v>0</v>
      </c>
      <c r="K90" s="7"/>
      <c r="L90" s="9"/>
      <c r="M90" s="9"/>
      <c r="N90" s="7"/>
      <c r="P90" s="18">
        <v>515000311</v>
      </c>
      <c r="Q90" s="2">
        <v>0</v>
      </c>
      <c r="R90" s="2" t="s">
        <v>8</v>
      </c>
      <c r="AF90" s="14"/>
    </row>
    <row r="91" spans="1:32" customFormat="1" x14ac:dyDescent="0.25">
      <c r="A91" s="9"/>
      <c r="C91" s="14"/>
      <c r="E91" t="str">
        <f>IF(ISNA(VLOOKUP(C91,P:Q,2,0)),"",VLOOKUP(C91,P:Q,2,0))</f>
        <v/>
      </c>
      <c r="F91" s="15" t="str">
        <f>IF(ISNA(VLOOKUP(C91,P:R,3,0)),"",VLOOKUP(C91,P:R,3,0))</f>
        <v/>
      </c>
      <c r="G91">
        <f>ROUND(IF(D91&gt;0,0,ABS(D91)),2)</f>
        <v>0</v>
      </c>
      <c r="H91">
        <f>ROUND(IF(D91&gt;0,D91,),2)</f>
        <v>0</v>
      </c>
      <c r="K91" s="7"/>
      <c r="L91" s="9"/>
      <c r="M91" s="9"/>
      <c r="N91" s="7"/>
      <c r="P91" s="18">
        <v>600100000</v>
      </c>
      <c r="Q91" s="2">
        <v>545</v>
      </c>
      <c r="R91" s="2" t="s">
        <v>8</v>
      </c>
      <c r="AF91" s="14"/>
    </row>
    <row r="92" spans="1:32" customFormat="1" x14ac:dyDescent="0.25">
      <c r="A92" s="9"/>
      <c r="C92" s="14"/>
      <c r="E92" t="str">
        <f>IF(ISNA(VLOOKUP(C92,P:Q,2,0)),"",VLOOKUP(C92,P:Q,2,0))</f>
        <v/>
      </c>
      <c r="F92" s="15" t="str">
        <f>IF(ISNA(VLOOKUP(C92,P:R,3,0)),"",VLOOKUP(C92,P:R,3,0))</f>
        <v/>
      </c>
      <c r="G92">
        <f>ROUND(IF(D92&gt;0,0,ABS(D92)),2)</f>
        <v>0</v>
      </c>
      <c r="H92">
        <f>ROUND(IF(D92&gt;0,D92,),2)</f>
        <v>0</v>
      </c>
      <c r="K92" s="7"/>
      <c r="L92" s="9"/>
      <c r="M92" s="9"/>
      <c r="N92" s="7"/>
      <c r="P92" s="18">
        <v>600175000</v>
      </c>
      <c r="Q92" s="2">
        <v>545</v>
      </c>
      <c r="R92" s="2" t="s">
        <v>8</v>
      </c>
      <c r="AF92" s="14"/>
    </row>
    <row r="93" spans="1:32" customFormat="1" x14ac:dyDescent="0.25">
      <c r="A93" s="9"/>
      <c r="C93" s="14"/>
      <c r="E93" t="str">
        <f>IF(ISNA(VLOOKUP(C93,P:Q,2,0)),"",VLOOKUP(C93,P:Q,2,0))</f>
        <v/>
      </c>
      <c r="F93" s="15" t="str">
        <f>IF(ISNA(VLOOKUP(C93,P:R,3,0)),"",VLOOKUP(C93,P:R,3,0))</f>
        <v/>
      </c>
      <c r="G93">
        <f>ROUND(IF(D93&gt;0,0,ABS(D93)),2)</f>
        <v>0</v>
      </c>
      <c r="H93">
        <f>ROUND(IF(D93&gt;0,D93,),2)</f>
        <v>0</v>
      </c>
      <c r="K93" s="7"/>
      <c r="L93" s="9"/>
      <c r="M93" s="9"/>
      <c r="N93" s="7"/>
      <c r="P93" s="18">
        <v>600260000</v>
      </c>
      <c r="Q93" s="2">
        <v>545</v>
      </c>
      <c r="R93" s="2" t="s">
        <v>8</v>
      </c>
      <c r="AF93" s="14"/>
    </row>
    <row r="94" spans="1:32" customFormat="1" x14ac:dyDescent="0.25">
      <c r="A94" s="9"/>
      <c r="C94" s="14"/>
      <c r="E94" t="str">
        <f>IF(ISNA(VLOOKUP(C94,P:Q,2,0)),"",VLOOKUP(C94,P:Q,2,0))</f>
        <v/>
      </c>
      <c r="F94" s="15" t="str">
        <f>IF(ISNA(VLOOKUP(C94,P:R,3,0)),"",VLOOKUP(C94,P:R,3,0))</f>
        <v/>
      </c>
      <c r="G94">
        <f>ROUND(IF(D94&gt;0,0,ABS(D94)),2)</f>
        <v>0</v>
      </c>
      <c r="H94">
        <f>ROUND(IF(D94&gt;0,D94,),2)</f>
        <v>0</v>
      </c>
      <c r="K94" s="7"/>
      <c r="L94" s="9"/>
      <c r="M94" s="9"/>
      <c r="N94" s="7"/>
      <c r="P94" s="18">
        <v>600283000</v>
      </c>
      <c r="Q94" s="2">
        <v>545</v>
      </c>
      <c r="R94" s="2" t="s">
        <v>8</v>
      </c>
      <c r="AF94" s="14"/>
    </row>
    <row r="95" spans="1:32" customFormat="1" x14ac:dyDescent="0.25">
      <c r="A95" s="9"/>
      <c r="C95" s="14"/>
      <c r="E95" t="str">
        <f>IF(ISNA(VLOOKUP(C95,P:Q,2,0)),"",VLOOKUP(C95,P:Q,2,0))</f>
        <v/>
      </c>
      <c r="F95" s="15" t="str">
        <f>IF(ISNA(VLOOKUP(C95,P:R,3,0)),"",VLOOKUP(C95,P:R,3,0))</f>
        <v/>
      </c>
      <c r="G95">
        <f>ROUND(IF(D95&gt;0,0,ABS(D95)),2)</f>
        <v>0</v>
      </c>
      <c r="H95">
        <f>ROUND(IF(D95&gt;0,D95,),2)</f>
        <v>0</v>
      </c>
      <c r="K95" s="7"/>
      <c r="L95" s="9"/>
      <c r="M95" s="9"/>
      <c r="N95" s="7"/>
      <c r="P95" s="18">
        <v>600340130</v>
      </c>
      <c r="Q95" s="2">
        <v>545</v>
      </c>
      <c r="R95" s="2" t="s">
        <v>8</v>
      </c>
      <c r="AF95" s="14"/>
    </row>
    <row r="96" spans="1:32" customFormat="1" x14ac:dyDescent="0.25">
      <c r="A96" s="9"/>
      <c r="C96" s="14"/>
      <c r="E96" t="str">
        <f>IF(ISNA(VLOOKUP(C96,P:Q,2,0)),"",VLOOKUP(C96,P:Q,2,0))</f>
        <v/>
      </c>
      <c r="F96" s="15" t="str">
        <f>IF(ISNA(VLOOKUP(C96,P:R,3,0)),"",VLOOKUP(C96,P:R,3,0))</f>
        <v/>
      </c>
      <c r="G96">
        <f>ROUND(IF(D96&gt;0,0,ABS(D96)),2)</f>
        <v>0</v>
      </c>
      <c r="H96">
        <f>ROUND(IF(D96&gt;0,D96,),2)</f>
        <v>0</v>
      </c>
      <c r="K96" s="7"/>
      <c r="L96" s="9"/>
      <c r="M96" s="9"/>
      <c r="N96" s="7"/>
      <c r="P96" s="18">
        <v>600341000</v>
      </c>
      <c r="Q96" s="2">
        <v>545</v>
      </c>
      <c r="R96" s="2" t="s">
        <v>8</v>
      </c>
      <c r="AF96" s="14"/>
    </row>
    <row r="97" spans="1:32" customFormat="1" x14ac:dyDescent="0.25">
      <c r="A97" s="9"/>
      <c r="C97" s="14"/>
      <c r="E97" t="str">
        <f>IF(ISNA(VLOOKUP(C97,P:Q,2,0)),"",VLOOKUP(C97,P:Q,2,0))</f>
        <v/>
      </c>
      <c r="F97" s="15" t="str">
        <f>IF(ISNA(VLOOKUP(C97,P:R,3,0)),"",VLOOKUP(C97,P:R,3,0))</f>
        <v/>
      </c>
      <c r="G97">
        <f>ROUND(IF(D97&gt;0,0,ABS(D97)),2)</f>
        <v>0</v>
      </c>
      <c r="H97">
        <f>ROUND(IF(D97&gt;0,D97,),2)</f>
        <v>0</v>
      </c>
      <c r="K97" s="7"/>
      <c r="L97" s="9"/>
      <c r="M97" s="9"/>
      <c r="N97" s="7"/>
      <c r="P97" s="18">
        <v>600346000</v>
      </c>
      <c r="Q97" s="2">
        <v>545</v>
      </c>
      <c r="R97" s="2" t="s">
        <v>8</v>
      </c>
      <c r="AF97" s="14"/>
    </row>
    <row r="98" spans="1:32" customFormat="1" x14ac:dyDescent="0.25">
      <c r="A98" s="9"/>
      <c r="C98" s="14"/>
      <c r="E98" t="str">
        <f>IF(ISNA(VLOOKUP(C98,P:Q,2,0)),"",VLOOKUP(C98,P:Q,2,0))</f>
        <v/>
      </c>
      <c r="F98" s="15" t="str">
        <f>IF(ISNA(VLOOKUP(C98,P:R,3,0)),"",VLOOKUP(C98,P:R,3,0))</f>
        <v/>
      </c>
      <c r="G98">
        <f>ROUND(IF(D98&gt;0,0,ABS(D98)),2)</f>
        <v>0</v>
      </c>
      <c r="H98">
        <f>ROUND(IF(D98&gt;0,D98,),2)</f>
        <v>0</v>
      </c>
      <c r="K98" s="7"/>
      <c r="L98" s="9"/>
      <c r="M98" s="9"/>
      <c r="N98" s="7"/>
      <c r="P98" s="18">
        <v>600399000</v>
      </c>
      <c r="Q98" s="2">
        <v>545</v>
      </c>
      <c r="R98" s="2" t="s">
        <v>8</v>
      </c>
      <c r="AF98" s="14"/>
    </row>
    <row r="99" spans="1:32" customFormat="1" x14ac:dyDescent="0.25">
      <c r="A99" s="9"/>
      <c r="C99" s="14"/>
      <c r="E99" t="str">
        <f>IF(ISNA(VLOOKUP(C99,P:Q,2,0)),"",VLOOKUP(C99,P:Q,2,0))</f>
        <v/>
      </c>
      <c r="F99" s="15" t="str">
        <f>IF(ISNA(VLOOKUP(C99,P:R,3,0)),"",VLOOKUP(C99,P:R,3,0))</f>
        <v/>
      </c>
      <c r="G99">
        <f>ROUND(IF(D99&gt;0,0,ABS(D99)),2)</f>
        <v>0</v>
      </c>
      <c r="H99">
        <f>ROUND(IF(D99&gt;0,D99,),2)</f>
        <v>0</v>
      </c>
      <c r="K99" s="7"/>
      <c r="L99" s="9"/>
      <c r="M99" s="9"/>
      <c r="N99" s="7"/>
      <c r="P99" s="18">
        <v>600460000</v>
      </c>
      <c r="Q99" s="2">
        <v>545</v>
      </c>
      <c r="R99" s="2" t="s">
        <v>8</v>
      </c>
      <c r="AF99" s="14"/>
    </row>
    <row r="100" spans="1:32" customFormat="1" x14ac:dyDescent="0.25">
      <c r="A100" s="9"/>
      <c r="C100" s="14"/>
      <c r="E100" t="str">
        <f>IF(ISNA(VLOOKUP(C100,P:Q,2,0)),"",VLOOKUP(C100,P:Q,2,0))</f>
        <v/>
      </c>
      <c r="F100" s="15" t="str">
        <f>IF(ISNA(VLOOKUP(C100,P:R,3,0)),"",VLOOKUP(C100,P:R,3,0))</f>
        <v/>
      </c>
      <c r="G100">
        <f>ROUND(IF(D100&gt;0,0,ABS(D100)),2)</f>
        <v>0</v>
      </c>
      <c r="H100">
        <f>ROUND(IF(D100&gt;0,D100,),2)</f>
        <v>0</v>
      </c>
      <c r="K100" s="7"/>
      <c r="L100" s="9"/>
      <c r="M100" s="9"/>
      <c r="N100" s="7"/>
      <c r="P100" s="18">
        <v>600466000</v>
      </c>
      <c r="Q100" s="2">
        <v>545</v>
      </c>
      <c r="R100" s="2" t="s">
        <v>8</v>
      </c>
      <c r="AF100" s="14"/>
    </row>
    <row r="101" spans="1:32" customFormat="1" x14ac:dyDescent="0.25">
      <c r="A101" s="9"/>
      <c r="C101" s="14"/>
      <c r="E101" t="str">
        <f>IF(ISNA(VLOOKUP(C101,P:Q,2,0)),"",VLOOKUP(C101,P:Q,2,0))</f>
        <v/>
      </c>
      <c r="F101" s="15" t="str">
        <f>IF(ISNA(VLOOKUP(C101,P:R,3,0)),"",VLOOKUP(C101,P:R,3,0))</f>
        <v/>
      </c>
      <c r="G101">
        <f>ROUND(IF(D101&gt;0,0,ABS(D101)),2)</f>
        <v>0</v>
      </c>
      <c r="H101">
        <f>ROUND(IF(D101&gt;0,D101,),2)</f>
        <v>0</v>
      </c>
      <c r="K101" s="7"/>
      <c r="L101" s="9"/>
      <c r="M101" s="9"/>
      <c r="N101" s="7"/>
      <c r="P101" s="18">
        <v>600470290</v>
      </c>
      <c r="Q101" s="2">
        <v>570</v>
      </c>
      <c r="R101" s="2" t="s">
        <v>8</v>
      </c>
      <c r="AF101" s="14"/>
    </row>
    <row r="102" spans="1:32" customFormat="1" x14ac:dyDescent="0.25">
      <c r="A102" s="9"/>
      <c r="C102" s="14"/>
      <c r="E102" t="str">
        <f>IF(ISNA(VLOOKUP(C102,P:Q,2,0)),"",VLOOKUP(C102,P:Q,2,0))</f>
        <v/>
      </c>
      <c r="F102" s="15" t="str">
        <f>IF(ISNA(VLOOKUP(C102,P:R,3,0)),"",VLOOKUP(C102,P:R,3,0))</f>
        <v/>
      </c>
      <c r="G102">
        <f>ROUND(IF(D102&gt;0,0,ABS(D102)),2)</f>
        <v>0</v>
      </c>
      <c r="H102">
        <f>ROUND(IF(D102&gt;0,D102,),2)</f>
        <v>0</v>
      </c>
      <c r="K102" s="7"/>
      <c r="L102" s="9"/>
      <c r="M102" s="9"/>
      <c r="N102" s="7"/>
      <c r="P102" s="18">
        <v>600504000</v>
      </c>
      <c r="Q102" s="2">
        <v>545</v>
      </c>
      <c r="R102" s="2" t="s">
        <v>8</v>
      </c>
      <c r="AF102" s="14"/>
    </row>
    <row r="103" spans="1:32" customFormat="1" x14ac:dyDescent="0.25">
      <c r="A103" s="9"/>
      <c r="C103" s="14"/>
      <c r="E103" t="str">
        <f>IF(ISNA(VLOOKUP(C103,P:Q,2,0)),"",VLOOKUP(C103,P:Q,2,0))</f>
        <v/>
      </c>
      <c r="F103" s="15" t="str">
        <f>IF(ISNA(VLOOKUP(C103,P:R,3,0)),"",VLOOKUP(C103,P:R,3,0))</f>
        <v/>
      </c>
      <c r="G103">
        <f>ROUND(IF(D103&gt;0,0,ABS(D103)),2)</f>
        <v>0</v>
      </c>
      <c r="H103">
        <f>ROUND(IF(D103&gt;0,D103,),2)</f>
        <v>0</v>
      </c>
      <c r="K103" s="7"/>
      <c r="L103" s="9"/>
      <c r="M103" s="9"/>
      <c r="N103" s="7"/>
      <c r="P103" s="18">
        <v>600508000</v>
      </c>
      <c r="Q103" s="2">
        <v>545</v>
      </c>
      <c r="R103" s="2" t="s">
        <v>8</v>
      </c>
      <c r="AF103" s="14"/>
    </row>
    <row r="104" spans="1:32" customFormat="1" x14ac:dyDescent="0.25">
      <c r="A104" s="9"/>
      <c r="C104" s="14"/>
      <c r="E104" t="str">
        <f>IF(ISNA(VLOOKUP(C104,P:Q,2,0)),"",VLOOKUP(C104,P:Q,2,0))</f>
        <v/>
      </c>
      <c r="F104" s="15" t="str">
        <f>IF(ISNA(VLOOKUP(C104,P:R,3,0)),"",VLOOKUP(C104,P:R,3,0))</f>
        <v/>
      </c>
      <c r="G104">
        <f>ROUND(IF(D104&gt;0,0,ABS(D104)),2)</f>
        <v>0</v>
      </c>
      <c r="H104">
        <f>ROUND(IF(D104&gt;0,D104,),2)</f>
        <v>0</v>
      </c>
      <c r="K104" s="7"/>
      <c r="L104" s="9"/>
      <c r="M104" s="9"/>
      <c r="N104" s="7"/>
      <c r="P104" s="18">
        <v>600509000</v>
      </c>
      <c r="Q104" s="2">
        <v>545</v>
      </c>
      <c r="R104" s="2" t="s">
        <v>8</v>
      </c>
      <c r="AF104" s="14"/>
    </row>
    <row r="105" spans="1:32" customFormat="1" x14ac:dyDescent="0.25">
      <c r="A105" s="9"/>
      <c r="C105" s="14"/>
      <c r="E105" t="str">
        <f>IF(ISNA(VLOOKUP(C105,P:Q,2,0)),"",VLOOKUP(C105,P:Q,2,0))</f>
        <v/>
      </c>
      <c r="F105" s="15" t="str">
        <f>IF(ISNA(VLOOKUP(C105,P:R,3,0)),"",VLOOKUP(C105,P:R,3,0))</f>
        <v/>
      </c>
      <c r="G105">
        <f>ROUND(IF(D105&gt;0,0,ABS(D105)),2)</f>
        <v>0</v>
      </c>
      <c r="H105">
        <f>ROUND(IF(D105&gt;0,D105,),2)</f>
        <v>0</v>
      </c>
      <c r="K105" s="7"/>
      <c r="L105" s="9"/>
      <c r="M105" s="9"/>
      <c r="N105" s="7"/>
      <c r="P105" s="18">
        <v>600512000</v>
      </c>
      <c r="Q105" s="2">
        <v>550</v>
      </c>
      <c r="R105" s="2" t="s">
        <v>9</v>
      </c>
      <c r="AF105" s="14"/>
    </row>
    <row r="106" spans="1:32" customFormat="1" x14ac:dyDescent="0.25">
      <c r="A106" s="9"/>
      <c r="C106" s="14"/>
      <c r="E106" t="str">
        <f>IF(ISNA(VLOOKUP(C106,P:Q,2,0)),"",VLOOKUP(C106,P:Q,2,0))</f>
        <v/>
      </c>
      <c r="F106" s="15" t="str">
        <f>IF(ISNA(VLOOKUP(C106,P:R,3,0)),"",VLOOKUP(C106,P:R,3,0))</f>
        <v/>
      </c>
      <c r="G106">
        <f>ROUND(IF(D106&gt;0,0,ABS(D106)),2)</f>
        <v>0</v>
      </c>
      <c r="H106">
        <f>ROUND(IF(D106&gt;0,D106,),2)</f>
        <v>0</v>
      </c>
      <c r="K106" s="7"/>
      <c r="L106" s="9"/>
      <c r="M106" s="9"/>
      <c r="N106" s="7"/>
      <c r="P106" s="18">
        <v>600514000</v>
      </c>
      <c r="Q106" s="2">
        <v>545</v>
      </c>
      <c r="R106" s="2" t="s">
        <v>8</v>
      </c>
      <c r="AF106" s="14"/>
    </row>
    <row r="107" spans="1:32" customFormat="1" x14ac:dyDescent="0.25">
      <c r="A107" s="9"/>
      <c r="C107" s="14"/>
      <c r="E107" t="str">
        <f>IF(ISNA(VLOOKUP(C107,P:Q,2,0)),"",VLOOKUP(C107,P:Q,2,0))</f>
        <v/>
      </c>
      <c r="F107" s="15" t="str">
        <f>IF(ISNA(VLOOKUP(C107,P:R,3,0)),"",VLOOKUP(C107,P:R,3,0))</f>
        <v/>
      </c>
      <c r="G107">
        <f>ROUND(IF(D107&gt;0,0,ABS(D107)),2)</f>
        <v>0</v>
      </c>
      <c r="H107">
        <f>ROUND(IF(D107&gt;0,D107,),2)</f>
        <v>0</v>
      </c>
      <c r="K107" s="7"/>
      <c r="L107" s="9"/>
      <c r="M107" s="9"/>
      <c r="N107" s="7"/>
      <c r="P107" s="18">
        <v>600515000</v>
      </c>
      <c r="Q107" s="2">
        <v>545</v>
      </c>
      <c r="R107" s="2" t="s">
        <v>8</v>
      </c>
      <c r="AF107" s="14"/>
    </row>
    <row r="108" spans="1:32" customFormat="1" x14ac:dyDescent="0.25">
      <c r="A108" s="9"/>
      <c r="C108" s="14"/>
      <c r="E108" t="str">
        <f>IF(ISNA(VLOOKUP(C108,P:Q,2,0)),"",VLOOKUP(C108,P:Q,2,0))</f>
        <v/>
      </c>
      <c r="F108" s="15" t="str">
        <f>IF(ISNA(VLOOKUP(C108,P:R,3,0)),"",VLOOKUP(C108,P:R,3,0))</f>
        <v/>
      </c>
      <c r="G108">
        <f>ROUND(IF(D108&gt;0,0,ABS(D108)),2)</f>
        <v>0</v>
      </c>
      <c r="H108">
        <f>ROUND(IF(D108&gt;0,D108,),2)</f>
        <v>0</v>
      </c>
      <c r="K108" s="7"/>
      <c r="L108" s="9"/>
      <c r="M108" s="9"/>
      <c r="N108" s="7"/>
      <c r="P108" s="18">
        <v>600562000</v>
      </c>
      <c r="Q108" s="2">
        <v>545</v>
      </c>
      <c r="R108" s="2" t="s">
        <v>8</v>
      </c>
      <c r="AF108" s="14"/>
    </row>
    <row r="109" spans="1:32" customFormat="1" x14ac:dyDescent="0.25">
      <c r="A109" s="9"/>
      <c r="C109" s="14"/>
      <c r="E109" t="str">
        <f>IF(ISNA(VLOOKUP(C109,P:Q,2,0)),"",VLOOKUP(C109,P:Q,2,0))</f>
        <v/>
      </c>
      <c r="F109" s="15" t="str">
        <f>IF(ISNA(VLOOKUP(C109,P:R,3,0)),"",VLOOKUP(C109,P:R,3,0))</f>
        <v/>
      </c>
      <c r="G109">
        <f>ROUND(IF(D109&gt;0,0,ABS(D109)),2)</f>
        <v>0</v>
      </c>
      <c r="H109">
        <f>ROUND(IF(D109&gt;0,D109,),2)</f>
        <v>0</v>
      </c>
      <c r="K109" s="7"/>
      <c r="L109" s="9"/>
      <c r="M109" s="9"/>
      <c r="N109" s="7"/>
      <c r="P109" s="18">
        <v>600564000</v>
      </c>
      <c r="Q109" s="2">
        <v>545</v>
      </c>
      <c r="R109" s="2" t="s">
        <v>8</v>
      </c>
      <c r="AF109" s="14"/>
    </row>
    <row r="110" spans="1:32" customFormat="1" x14ac:dyDescent="0.25">
      <c r="A110" s="9"/>
      <c r="C110" s="14"/>
      <c r="E110" t="str">
        <f>IF(ISNA(VLOOKUP(C110,P:Q,2,0)),"",VLOOKUP(C110,P:Q,2,0))</f>
        <v/>
      </c>
      <c r="F110" s="15" t="str">
        <f>IF(ISNA(VLOOKUP(C110,P:R,3,0)),"",VLOOKUP(C110,P:R,3,0))</f>
        <v/>
      </c>
      <c r="G110">
        <f>ROUND(IF(D110&gt;0,0,ABS(D110)),2)</f>
        <v>0</v>
      </c>
      <c r="H110">
        <f>ROUND(IF(D110&gt;0,D110,),2)</f>
        <v>0</v>
      </c>
      <c r="K110" s="7"/>
      <c r="L110" s="9"/>
      <c r="M110" s="9"/>
      <c r="N110" s="7"/>
      <c r="P110" s="18">
        <v>600565000</v>
      </c>
      <c r="Q110" s="2">
        <v>545</v>
      </c>
      <c r="R110" s="2" t="s">
        <v>8</v>
      </c>
      <c r="AF110" s="14"/>
    </row>
    <row r="111" spans="1:32" customFormat="1" x14ac:dyDescent="0.25">
      <c r="A111" s="9"/>
      <c r="C111" s="14"/>
      <c r="E111" t="str">
        <f>IF(ISNA(VLOOKUP(C111,P:Q,2,0)),"",VLOOKUP(C111,P:Q,2,0))</f>
        <v/>
      </c>
      <c r="F111" s="15" t="str">
        <f>IF(ISNA(VLOOKUP(C111,P:R,3,0)),"",VLOOKUP(C111,P:R,3,0))</f>
        <v/>
      </c>
      <c r="G111">
        <f>ROUND(IF(D111&gt;0,0,ABS(D111)),2)</f>
        <v>0</v>
      </c>
      <c r="H111">
        <f>ROUND(IF(D111&gt;0,D111,),2)</f>
        <v>0</v>
      </c>
      <c r="K111" s="7"/>
      <c r="L111" s="9"/>
      <c r="M111" s="9"/>
      <c r="N111" s="7"/>
      <c r="P111" s="18">
        <v>600580000</v>
      </c>
      <c r="Q111" s="2">
        <v>545</v>
      </c>
      <c r="R111" s="2" t="s">
        <v>8</v>
      </c>
      <c r="AF111" s="14"/>
    </row>
    <row r="112" spans="1:32" customFormat="1" x14ac:dyDescent="0.25">
      <c r="A112" s="9"/>
      <c r="C112" s="14"/>
      <c r="E112" t="str">
        <f>IF(ISNA(VLOOKUP(C112,P:Q,2,0)),"",VLOOKUP(C112,P:Q,2,0))</f>
        <v/>
      </c>
      <c r="F112" s="15" t="str">
        <f>IF(ISNA(VLOOKUP(C112,P:R,3,0)),"",VLOOKUP(C112,P:R,3,0))</f>
        <v/>
      </c>
      <c r="G112">
        <f>ROUND(IF(D112&gt;0,0,ABS(D112)),2)</f>
        <v>0</v>
      </c>
      <c r="H112">
        <f>ROUND(IF(D112&gt;0,D112,),2)</f>
        <v>0</v>
      </c>
      <c r="K112" s="7"/>
      <c r="L112" s="9"/>
      <c r="M112" s="9"/>
      <c r="N112" s="7"/>
      <c r="P112" s="18">
        <v>600594000</v>
      </c>
      <c r="Q112" s="2">
        <v>545</v>
      </c>
      <c r="R112" s="2" t="s">
        <v>8</v>
      </c>
      <c r="AF112" s="14"/>
    </row>
    <row r="113" spans="1:32" customFormat="1" x14ac:dyDescent="0.25">
      <c r="A113" s="9"/>
      <c r="C113" s="14"/>
      <c r="E113" t="str">
        <f>IF(ISNA(VLOOKUP(C113,P:Q,2,0)),"",VLOOKUP(C113,P:Q,2,0))</f>
        <v/>
      </c>
      <c r="F113" s="15" t="str">
        <f>IF(ISNA(VLOOKUP(C113,P:R,3,0)),"",VLOOKUP(C113,P:R,3,0))</f>
        <v/>
      </c>
      <c r="G113">
        <f>ROUND(IF(D113&gt;0,0,ABS(D113)),2)</f>
        <v>0</v>
      </c>
      <c r="H113">
        <f>ROUND(IF(D113&gt;0,D113,),2)</f>
        <v>0</v>
      </c>
      <c r="K113" s="7"/>
      <c r="L113" s="9"/>
      <c r="M113" s="9"/>
      <c r="N113" s="7"/>
      <c r="P113" s="18">
        <v>600604000</v>
      </c>
      <c r="Q113" s="2">
        <v>520</v>
      </c>
      <c r="R113" s="2" t="s">
        <v>8</v>
      </c>
      <c r="AF113" s="14"/>
    </row>
    <row r="114" spans="1:32" customFormat="1" x14ac:dyDescent="0.25">
      <c r="A114" s="9"/>
      <c r="C114" s="14"/>
      <c r="E114" t="str">
        <f>IF(ISNA(VLOOKUP(C114,P:Q,2,0)),"",VLOOKUP(C114,P:Q,2,0))</f>
        <v/>
      </c>
      <c r="F114" s="15" t="str">
        <f>IF(ISNA(VLOOKUP(C114,P:R,3,0)),"",VLOOKUP(C114,P:R,3,0))</f>
        <v/>
      </c>
      <c r="G114">
        <f>ROUND(IF(D114&gt;0,0,ABS(D114)),2)</f>
        <v>0</v>
      </c>
      <c r="H114">
        <f>ROUND(IF(D114&gt;0,D114,),2)</f>
        <v>0</v>
      </c>
      <c r="K114" s="7"/>
      <c r="L114" s="9"/>
      <c r="M114" s="9"/>
      <c r="N114" s="7"/>
      <c r="P114" s="18">
        <v>600622000</v>
      </c>
      <c r="Q114" s="2">
        <v>545</v>
      </c>
      <c r="R114" s="2" t="s">
        <v>8</v>
      </c>
      <c r="AF114" s="14"/>
    </row>
    <row r="115" spans="1:32" customFormat="1" x14ac:dyDescent="0.25">
      <c r="A115" s="9"/>
      <c r="C115" s="14"/>
      <c r="E115" t="str">
        <f>IF(ISNA(VLOOKUP(C115,P:Q,2,0)),"",VLOOKUP(C115,P:Q,2,0))</f>
        <v/>
      </c>
      <c r="F115" s="15" t="str">
        <f>IF(ISNA(VLOOKUP(C115,P:R,3,0)),"",VLOOKUP(C115,P:R,3,0))</f>
        <v/>
      </c>
      <c r="G115">
        <f>ROUND(IF(D115&gt;0,0,ABS(D115)),2)</f>
        <v>0</v>
      </c>
      <c r="H115">
        <f>ROUND(IF(D115&gt;0,D115,),2)</f>
        <v>0</v>
      </c>
      <c r="K115" s="7"/>
      <c r="L115" s="9"/>
      <c r="M115" s="9"/>
      <c r="N115" s="7"/>
      <c r="P115" s="18">
        <v>600668000</v>
      </c>
      <c r="Q115" s="2">
        <v>570</v>
      </c>
      <c r="R115" s="2" t="s">
        <v>8</v>
      </c>
      <c r="AF115" s="14"/>
    </row>
    <row r="116" spans="1:32" customFormat="1" x14ac:dyDescent="0.25">
      <c r="A116" s="9"/>
      <c r="C116" s="14"/>
      <c r="E116" t="str">
        <f>IF(ISNA(VLOOKUP(C116,P:Q,2,0)),"",VLOOKUP(C116,P:Q,2,0))</f>
        <v/>
      </c>
      <c r="F116" s="15" t="str">
        <f>IF(ISNA(VLOOKUP(C116,P:R,3,0)),"",VLOOKUP(C116,P:R,3,0))</f>
        <v/>
      </c>
      <c r="G116">
        <f>ROUND(IF(D116&gt;0,0,ABS(D116)),2)</f>
        <v>0</v>
      </c>
      <c r="H116">
        <f>ROUND(IF(D116&gt;0,D116,),2)</f>
        <v>0</v>
      </c>
      <c r="K116" s="7"/>
      <c r="L116" s="9"/>
      <c r="M116" s="9"/>
      <c r="N116" s="7"/>
      <c r="P116" s="18">
        <v>600668100</v>
      </c>
      <c r="Q116" s="2">
        <v>570</v>
      </c>
      <c r="R116" s="2" t="s">
        <v>9</v>
      </c>
      <c r="AF116" s="14"/>
    </row>
    <row r="117" spans="1:32" customFormat="1" x14ac:dyDescent="0.25">
      <c r="A117" s="9"/>
      <c r="C117" s="14"/>
      <c r="E117" t="str">
        <f>IF(ISNA(VLOOKUP(C117,P:Q,2,0)),"",VLOOKUP(C117,P:Q,2,0))</f>
        <v/>
      </c>
      <c r="F117" s="15" t="str">
        <f>IF(ISNA(VLOOKUP(C117,P:R,3,0)),"",VLOOKUP(C117,P:R,3,0))</f>
        <v/>
      </c>
      <c r="G117">
        <f>ROUND(IF(D117&gt;0,0,ABS(D117)),2)</f>
        <v>0</v>
      </c>
      <c r="H117">
        <f>ROUND(IF(D117&gt;0,D117,),2)</f>
        <v>0</v>
      </c>
      <c r="K117" s="7"/>
      <c r="L117" s="9"/>
      <c r="M117" s="9"/>
      <c r="N117" s="7"/>
      <c r="P117" s="18">
        <v>600670000</v>
      </c>
      <c r="Q117" s="2">
        <v>570</v>
      </c>
      <c r="R117" s="2" t="s">
        <v>8</v>
      </c>
      <c r="AF117" s="14"/>
    </row>
    <row r="118" spans="1:32" customFormat="1" x14ac:dyDescent="0.25">
      <c r="A118" s="9"/>
      <c r="C118" s="14"/>
      <c r="E118" t="str">
        <f>IF(ISNA(VLOOKUP(C118,P:Q,2,0)),"",VLOOKUP(C118,P:Q,2,0))</f>
        <v/>
      </c>
      <c r="F118" s="15" t="str">
        <f>IF(ISNA(VLOOKUP(C118,P:R,3,0)),"",VLOOKUP(C118,P:R,3,0))</f>
        <v/>
      </c>
      <c r="G118">
        <f>ROUND(IF(D118&gt;0,0,ABS(D118)),2)</f>
        <v>0</v>
      </c>
      <c r="H118">
        <f>ROUND(IF(D118&gt;0,D118,),2)</f>
        <v>0</v>
      </c>
      <c r="K118" s="7"/>
      <c r="L118" s="9"/>
      <c r="M118" s="9"/>
      <c r="N118" s="7"/>
      <c r="P118" s="18">
        <v>600671000</v>
      </c>
      <c r="Q118" s="2">
        <v>545</v>
      </c>
      <c r="R118" s="2" t="s">
        <v>8</v>
      </c>
      <c r="AF118" s="14"/>
    </row>
    <row r="119" spans="1:32" customFormat="1" x14ac:dyDescent="0.25">
      <c r="A119" s="9"/>
      <c r="C119" s="14"/>
      <c r="E119" t="str">
        <f>IF(ISNA(VLOOKUP(C119,P:Q,2,0)),"",VLOOKUP(C119,P:Q,2,0))</f>
        <v/>
      </c>
      <c r="F119" s="15" t="str">
        <f>IF(ISNA(VLOOKUP(C119,P:R,3,0)),"",VLOOKUP(C119,P:R,3,0))</f>
        <v/>
      </c>
      <c r="G119">
        <f>ROUND(IF(D119&gt;0,0,ABS(D119)),2)</f>
        <v>0</v>
      </c>
      <c r="H119">
        <f>ROUND(IF(D119&gt;0,D119,),2)</f>
        <v>0</v>
      </c>
      <c r="K119" s="7"/>
      <c r="L119" s="9"/>
      <c r="M119" s="9"/>
      <c r="N119" s="7"/>
      <c r="P119" s="18">
        <v>901220003</v>
      </c>
      <c r="Q119" s="2">
        <v>0</v>
      </c>
      <c r="R119" s="2" t="s">
        <v>8</v>
      </c>
      <c r="AF119" s="14"/>
    </row>
    <row r="120" spans="1:32" customFormat="1" x14ac:dyDescent="0.25">
      <c r="A120" s="9"/>
      <c r="C120" s="14"/>
      <c r="E120" t="str">
        <f>IF(ISNA(VLOOKUP(C120,P:Q,2,0)),"",VLOOKUP(C120,P:Q,2,0))</f>
        <v/>
      </c>
      <c r="F120" s="15" t="str">
        <f>IF(ISNA(VLOOKUP(C120,P:R,3,0)),"",VLOOKUP(C120,P:R,3,0))</f>
        <v/>
      </c>
      <c r="G120">
        <f>ROUND(IF(D120&gt;0,0,ABS(D120)),2)</f>
        <v>0</v>
      </c>
      <c r="H120">
        <f>ROUND(IF(D120&gt;0,D120,),2)</f>
        <v>0</v>
      </c>
      <c r="K120" s="7"/>
      <c r="L120" s="9"/>
      <c r="M120" s="9"/>
      <c r="N120" s="7"/>
      <c r="P120" s="18">
        <v>970240000</v>
      </c>
      <c r="Q120" s="2">
        <v>570</v>
      </c>
      <c r="R120" s="2" t="s">
        <v>8</v>
      </c>
      <c r="AF120" s="14"/>
    </row>
    <row r="121" spans="1:32" customFormat="1" x14ac:dyDescent="0.25">
      <c r="A121" s="9"/>
      <c r="C121" s="14"/>
      <c r="E121" t="str">
        <f>IF(ISNA(VLOOKUP(C121,P:Q,2,0)),"",VLOOKUP(C121,P:Q,2,0))</f>
        <v/>
      </c>
      <c r="F121" s="15" t="str">
        <f>IF(ISNA(VLOOKUP(C121,P:R,3,0)),"",VLOOKUP(C121,P:R,3,0))</f>
        <v/>
      </c>
      <c r="G121">
        <f>ROUND(IF(D121&gt;0,0,ABS(D121)),2)</f>
        <v>0</v>
      </c>
      <c r="H121">
        <f>ROUND(IF(D121&gt;0,D121,),2)</f>
        <v>0</v>
      </c>
      <c r="K121" s="7"/>
      <c r="L121" s="9"/>
      <c r="M121" s="9"/>
      <c r="N121" s="7"/>
      <c r="P121" s="18">
        <v>979110002</v>
      </c>
      <c r="Q121" s="2">
        <v>0</v>
      </c>
      <c r="R121" s="2" t="s">
        <v>8</v>
      </c>
      <c r="AF121" s="14"/>
    </row>
    <row r="122" spans="1:32" customFormat="1" x14ac:dyDescent="0.25">
      <c r="A122" s="9"/>
      <c r="C122" s="14"/>
      <c r="E122" t="str">
        <f>IF(ISNA(VLOOKUP(C122,P:Q,2,0)),"",VLOOKUP(C122,P:Q,2,0))</f>
        <v/>
      </c>
      <c r="F122" s="15" t="str">
        <f>IF(ISNA(VLOOKUP(C122,P:R,3,0)),"",VLOOKUP(C122,P:R,3,0))</f>
        <v/>
      </c>
      <c r="G122">
        <f>ROUND(IF(D122&gt;0,0,ABS(D122)),2)</f>
        <v>0</v>
      </c>
      <c r="H122">
        <f>ROUND(IF(D122&gt;0,D122,),2)</f>
        <v>0</v>
      </c>
      <c r="K122" s="7"/>
      <c r="L122" s="9"/>
      <c r="M122" s="9"/>
      <c r="N122" s="7"/>
      <c r="P122" s="18">
        <v>980110002</v>
      </c>
      <c r="Q122" s="2">
        <v>0</v>
      </c>
      <c r="R122" s="2" t="s">
        <v>8</v>
      </c>
      <c r="AF122" s="14"/>
    </row>
    <row r="123" spans="1:32" customFormat="1" x14ac:dyDescent="0.25">
      <c r="A123" s="9"/>
      <c r="C123" s="14"/>
      <c r="E123" t="str">
        <f>IF(ISNA(VLOOKUP(C123,P:Q,2,0)),"",VLOOKUP(C123,P:Q,2,0))</f>
        <v/>
      </c>
      <c r="F123" s="15" t="str">
        <f>IF(ISNA(VLOOKUP(C123,P:R,3,0)),"",VLOOKUP(C123,P:R,3,0))</f>
        <v/>
      </c>
      <c r="G123">
        <f>ROUND(IF(D123&gt;0,0,ABS(D123)),2)</f>
        <v>0</v>
      </c>
      <c r="H123">
        <f>ROUND(IF(D123&gt;0,D123,),2)</f>
        <v>0</v>
      </c>
      <c r="K123" s="7"/>
      <c r="L123" s="9"/>
      <c r="M123" s="9"/>
      <c r="N123" s="7"/>
      <c r="P123" s="18">
        <v>980120002</v>
      </c>
      <c r="Q123" s="2">
        <v>0</v>
      </c>
      <c r="R123" s="2" t="s">
        <v>8</v>
      </c>
      <c r="AF123" s="14"/>
    </row>
    <row r="124" spans="1:32" customFormat="1" x14ac:dyDescent="0.25">
      <c r="A124" s="9"/>
      <c r="C124" s="14"/>
      <c r="E124" t="str">
        <f>IF(ISNA(VLOOKUP(C124,P:Q,2,0)),"",VLOOKUP(C124,P:Q,2,0))</f>
        <v/>
      </c>
      <c r="F124" s="15" t="str">
        <f>IF(ISNA(VLOOKUP(C124,P:R,3,0)),"",VLOOKUP(C124,P:R,3,0))</f>
        <v/>
      </c>
      <c r="G124">
        <f>ROUND(IF(D124&gt;0,0,ABS(D124)),2)</f>
        <v>0</v>
      </c>
      <c r="H124">
        <f>ROUND(IF(D124&gt;0,D124,),2)</f>
        <v>0</v>
      </c>
      <c r="K124" s="7"/>
      <c r="L124" s="9"/>
      <c r="M124" s="9"/>
      <c r="N124" s="7"/>
      <c r="P124" s="18">
        <v>984000000</v>
      </c>
      <c r="Q124" s="2">
        <v>0</v>
      </c>
      <c r="R124" s="2" t="s">
        <v>8</v>
      </c>
      <c r="AF124" s="14"/>
    </row>
    <row r="125" spans="1:32" customFormat="1" x14ac:dyDescent="0.25">
      <c r="A125" s="9"/>
      <c r="C125" s="14"/>
      <c r="E125" t="str">
        <f>IF(ISNA(VLOOKUP(C125,P:Q,2,0)),"",VLOOKUP(C125,P:Q,2,0))</f>
        <v/>
      </c>
      <c r="F125" s="15" t="str">
        <f>IF(ISNA(VLOOKUP(C125,P:R,3,0)),"",VLOOKUP(C125,P:R,3,0))</f>
        <v/>
      </c>
      <c r="G125">
        <f>ROUND(IF(D125&gt;0,0,ABS(D125)),2)</f>
        <v>0</v>
      </c>
      <c r="H125">
        <f>ROUND(IF(D125&gt;0,D125,),2)</f>
        <v>0</v>
      </c>
      <c r="K125" s="7"/>
      <c r="L125" s="9"/>
      <c r="M125" s="9"/>
      <c r="N125" s="7"/>
      <c r="P125" s="18">
        <v>984118900</v>
      </c>
      <c r="Q125" s="2">
        <v>0</v>
      </c>
      <c r="R125" s="2" t="s">
        <v>8</v>
      </c>
      <c r="AF125" s="14"/>
    </row>
    <row r="126" spans="1:32" customFormat="1" x14ac:dyDescent="0.25">
      <c r="A126" s="9"/>
      <c r="C126" s="14"/>
      <c r="E126" t="str">
        <f>IF(ISNA(VLOOKUP(C126,P:Q,2,0)),"",VLOOKUP(C126,P:Q,2,0))</f>
        <v/>
      </c>
      <c r="F126" s="15" t="str">
        <f>IF(ISNA(VLOOKUP(C126,P:R,3,0)),"",VLOOKUP(C126,P:R,3,0))</f>
        <v/>
      </c>
      <c r="G126">
        <f>ROUND(IF(D126&gt;0,0,ABS(D126)),2)</f>
        <v>0</v>
      </c>
      <c r="H126">
        <f>ROUND(IF(D126&gt;0,D126,),2)</f>
        <v>0</v>
      </c>
      <c r="K126" s="7"/>
      <c r="L126" s="9"/>
      <c r="M126" s="9"/>
      <c r="N126" s="7"/>
      <c r="P126" s="18">
        <v>984131000</v>
      </c>
      <c r="Q126" s="2">
        <v>0</v>
      </c>
      <c r="R126" s="2" t="s">
        <v>8</v>
      </c>
      <c r="AF126" s="14"/>
    </row>
    <row r="127" spans="1:32" customFormat="1" x14ac:dyDescent="0.25">
      <c r="A127" s="9"/>
      <c r="C127" s="14"/>
      <c r="E127" t="str">
        <f>IF(ISNA(VLOOKUP(C127,P:Q,2,0)),"",VLOOKUP(C127,P:Q,2,0))</f>
        <v/>
      </c>
      <c r="F127" s="15" t="str">
        <f>IF(ISNA(VLOOKUP(C127,P:R,3,0)),"",VLOOKUP(C127,P:R,3,0))</f>
        <v/>
      </c>
      <c r="G127">
        <f>ROUND(IF(D127&gt;0,0,ABS(D127)),2)</f>
        <v>0</v>
      </c>
      <c r="H127">
        <f>ROUND(IF(D127&gt;0,D127,),2)</f>
        <v>0</v>
      </c>
      <c r="K127" s="7"/>
      <c r="L127" s="9"/>
      <c r="M127" s="9"/>
      <c r="N127" s="7"/>
      <c r="P127" s="18">
        <v>984201001</v>
      </c>
      <c r="Q127" s="2">
        <v>0</v>
      </c>
      <c r="R127" s="2" t="s">
        <v>8</v>
      </c>
      <c r="AF127" s="14"/>
    </row>
    <row r="128" spans="1:32" customFormat="1" x14ac:dyDescent="0.25">
      <c r="A128" s="9"/>
      <c r="C128" s="14"/>
      <c r="E128" t="str">
        <f>IF(ISNA(VLOOKUP(C128,P:Q,2,0)),"",VLOOKUP(C128,P:Q,2,0))</f>
        <v/>
      </c>
      <c r="F128" s="15" t="str">
        <f>IF(ISNA(VLOOKUP(C128,P:R,3,0)),"",VLOOKUP(C128,P:R,3,0))</f>
        <v/>
      </c>
      <c r="G128">
        <f>ROUND(IF(D128&gt;0,0,ABS(D128)),2)</f>
        <v>0</v>
      </c>
      <c r="H128">
        <f>ROUND(IF(D128&gt;0,D128,),2)</f>
        <v>0</v>
      </c>
      <c r="K128" s="7"/>
      <c r="L128" s="9"/>
      <c r="M128" s="9"/>
      <c r="N128" s="7"/>
      <c r="P128" s="18">
        <v>984203001</v>
      </c>
      <c r="Q128" s="2">
        <v>570</v>
      </c>
      <c r="R128" s="2" t="s">
        <v>8</v>
      </c>
      <c r="AF128" s="14"/>
    </row>
    <row r="129" spans="1:32" customFormat="1" x14ac:dyDescent="0.25">
      <c r="A129" s="9"/>
      <c r="C129" s="14"/>
      <c r="E129" t="str">
        <f>IF(ISNA(VLOOKUP(C129,P:Q,2,0)),"",VLOOKUP(C129,P:Q,2,0))</f>
        <v/>
      </c>
      <c r="F129" s="15" t="str">
        <f>IF(ISNA(VLOOKUP(C129,P:R,3,0)),"",VLOOKUP(C129,P:R,3,0))</f>
        <v/>
      </c>
      <c r="G129">
        <f>ROUND(IF(D129&gt;0,0,ABS(D129)),2)</f>
        <v>0</v>
      </c>
      <c r="H129">
        <f>ROUND(IF(D129&gt;0,D129,),2)</f>
        <v>0</v>
      </c>
      <c r="K129" s="7"/>
      <c r="L129" s="9"/>
      <c r="M129" s="9"/>
      <c r="N129" s="7"/>
      <c r="P129" s="18">
        <v>600470000</v>
      </c>
      <c r="Q129">
        <v>545</v>
      </c>
      <c r="R129" t="s">
        <v>8</v>
      </c>
      <c r="AF129" s="14"/>
    </row>
    <row r="130" spans="1:32" customFormat="1" x14ac:dyDescent="0.25">
      <c r="A130" s="9"/>
      <c r="C130" s="14"/>
      <c r="E130" t="str">
        <f>IF(ISNA(VLOOKUP(C130,P:Q,2,0)),"",VLOOKUP(C130,P:Q,2,0))</f>
        <v/>
      </c>
      <c r="F130" s="15" t="str">
        <f>IF(ISNA(VLOOKUP(C130,P:R,3,0)),"",VLOOKUP(C130,P:R,3,0))</f>
        <v/>
      </c>
      <c r="G130">
        <f>ROUND(IF(D130&gt;0,0,ABS(D130)),2)</f>
        <v>0</v>
      </c>
      <c r="H130">
        <f>ROUND(IF(D130&gt;0,D130,),2)</f>
        <v>0</v>
      </c>
      <c r="K130" s="7"/>
      <c r="L130" s="9"/>
      <c r="M130" s="9"/>
      <c r="N130" s="7"/>
      <c r="P130" s="18">
        <v>600667000</v>
      </c>
      <c r="Q130">
        <v>570</v>
      </c>
      <c r="R130" t="s">
        <v>8</v>
      </c>
      <c r="AF130" s="14"/>
    </row>
    <row r="131" spans="1:32" customFormat="1" x14ac:dyDescent="0.25">
      <c r="A131" s="9"/>
      <c r="C131" s="14"/>
      <c r="E131" t="str">
        <f>IF(ISNA(VLOOKUP(C131,P:Q,2,0)),"",VLOOKUP(C131,P:Q,2,0))</f>
        <v/>
      </c>
      <c r="F131" s="15" t="str">
        <f>IF(ISNA(VLOOKUP(C131,P:R,3,0)),"",VLOOKUP(C131,P:R,3,0))</f>
        <v/>
      </c>
      <c r="G131">
        <f>ROUND(IF(D131&gt;0,0,ABS(D131)),2)</f>
        <v>0</v>
      </c>
      <c r="H131">
        <f>ROUND(IF(D131&gt;0,D131,),2)</f>
        <v>0</v>
      </c>
      <c r="K131" s="7"/>
      <c r="L131" s="9"/>
      <c r="M131" s="9"/>
      <c r="N131" s="7"/>
      <c r="P131" s="43" t="s">
        <v>365</v>
      </c>
      <c r="Q131" s="2">
        <v>0</v>
      </c>
      <c r="R131" s="2" t="s">
        <v>8</v>
      </c>
      <c r="AF131" s="14"/>
    </row>
    <row r="132" spans="1:32" customFormat="1" x14ac:dyDescent="0.25">
      <c r="A132" s="9"/>
      <c r="C132" s="14"/>
      <c r="E132" t="str">
        <f>IF(ISNA(VLOOKUP(C132,P:Q,2,0)),"",VLOOKUP(C132,P:Q,2,0))</f>
        <v/>
      </c>
      <c r="F132" s="15" t="str">
        <f>IF(ISNA(VLOOKUP(C132,P:R,3,0)),"",VLOOKUP(C132,P:R,3,0))</f>
        <v/>
      </c>
      <c r="G132">
        <f>ROUND(IF(D132&gt;0,0,ABS(D132)),2)</f>
        <v>0</v>
      </c>
      <c r="H132">
        <f>ROUND(IF(D132&gt;0,D132,),2)</f>
        <v>0</v>
      </c>
      <c r="K132" s="7"/>
      <c r="L132" s="9"/>
      <c r="M132" s="9"/>
      <c r="N132" s="7"/>
      <c r="P132" s="18"/>
      <c r="Q132" s="2"/>
      <c r="R132" s="2"/>
      <c r="AF132" s="14"/>
    </row>
    <row r="133" spans="1:32" customFormat="1" x14ac:dyDescent="0.25">
      <c r="A133" s="9"/>
      <c r="C133" s="14"/>
      <c r="E133" t="str">
        <f>IF(ISNA(VLOOKUP(C133,P:Q,2,0)),"",VLOOKUP(C133,P:Q,2,0))</f>
        <v/>
      </c>
      <c r="F133" s="15" t="str">
        <f>IF(ISNA(VLOOKUP(C133,P:R,3,0)),"",VLOOKUP(C133,P:R,3,0))</f>
        <v/>
      </c>
      <c r="G133">
        <f>ROUND(IF(D133&gt;0,0,ABS(D133)),2)</f>
        <v>0</v>
      </c>
      <c r="H133">
        <f>ROUND(IF(D133&gt;0,D133,),2)</f>
        <v>0</v>
      </c>
      <c r="K133" s="7"/>
      <c r="L133" s="9"/>
      <c r="M133" s="9"/>
      <c r="N133" s="7"/>
      <c r="P133" s="18"/>
      <c r="Q133" s="2"/>
      <c r="R133" s="2"/>
      <c r="AF133" s="14"/>
    </row>
    <row r="134" spans="1:32" customFormat="1" x14ac:dyDescent="0.25">
      <c r="A134" s="9"/>
      <c r="C134" s="14"/>
      <c r="E134" t="str">
        <f>IF(ISNA(VLOOKUP(C134,P:Q,2,0)),"",VLOOKUP(C134,P:Q,2,0))</f>
        <v/>
      </c>
      <c r="F134" s="15" t="str">
        <f>IF(ISNA(VLOOKUP(C134,P:R,3,0)),"",VLOOKUP(C134,P:R,3,0))</f>
        <v/>
      </c>
      <c r="G134">
        <f>ROUND(IF(D134&gt;0,0,ABS(D134)),2)</f>
        <v>0</v>
      </c>
      <c r="H134">
        <f>ROUND(IF(D134&gt;0,D134,),2)</f>
        <v>0</v>
      </c>
      <c r="K134" s="7"/>
      <c r="L134" s="9"/>
      <c r="M134" s="9"/>
      <c r="N134" s="7"/>
      <c r="P134" s="18"/>
      <c r="Q134" s="2"/>
      <c r="R134" s="2"/>
      <c r="AF134" s="14"/>
    </row>
    <row r="135" spans="1:32" customFormat="1" x14ac:dyDescent="0.25">
      <c r="A135" s="9"/>
      <c r="C135" s="14"/>
      <c r="E135" t="str">
        <f>IF(ISNA(VLOOKUP(C135,P:Q,2,0)),"",VLOOKUP(C135,P:Q,2,0))</f>
        <v/>
      </c>
      <c r="F135" s="15" t="str">
        <f>IF(ISNA(VLOOKUP(C135,P:R,3,0)),"",VLOOKUP(C135,P:R,3,0))</f>
        <v/>
      </c>
      <c r="G135">
        <f>ROUND(IF(D135&gt;0,0,ABS(D135)),2)</f>
        <v>0</v>
      </c>
      <c r="H135">
        <f>ROUND(IF(D135&gt;0,D135,),2)</f>
        <v>0</v>
      </c>
      <c r="K135" s="7"/>
      <c r="L135" s="9"/>
      <c r="M135" s="9"/>
      <c r="N135" s="7"/>
      <c r="P135" s="18"/>
      <c r="Q135" s="2"/>
      <c r="R135" s="2"/>
      <c r="AF135" s="14"/>
    </row>
    <row r="136" spans="1:32" customFormat="1" x14ac:dyDescent="0.25">
      <c r="A136" s="9"/>
      <c r="C136" s="14"/>
      <c r="E136" t="str">
        <f>IF(ISNA(VLOOKUP(C136,P:Q,2,0)),"",VLOOKUP(C136,P:Q,2,0))</f>
        <v/>
      </c>
      <c r="F136" s="15" t="str">
        <f>IF(ISNA(VLOOKUP(C136,P:R,3,0)),"",VLOOKUP(C136,P:R,3,0))</f>
        <v/>
      </c>
      <c r="G136">
        <f>ROUND(IF(D136&gt;0,0,ABS(D136)),2)</f>
        <v>0</v>
      </c>
      <c r="H136">
        <f>ROUND(IF(D136&gt;0,D136,),2)</f>
        <v>0</v>
      </c>
      <c r="K136" s="7"/>
      <c r="L136" s="9"/>
      <c r="M136" s="9"/>
      <c r="N136" s="7"/>
      <c r="P136" s="18"/>
      <c r="Q136" s="2"/>
      <c r="R136" s="2"/>
      <c r="AF136" s="14"/>
    </row>
    <row r="137" spans="1:32" customFormat="1" x14ac:dyDescent="0.25">
      <c r="A137" s="9"/>
      <c r="C137" s="14"/>
      <c r="E137" t="str">
        <f>IF(ISNA(VLOOKUP(C137,P:Q,2,0)),"",VLOOKUP(C137,P:Q,2,0))</f>
        <v/>
      </c>
      <c r="F137" s="15" t="str">
        <f>IF(ISNA(VLOOKUP(C137,P:R,3,0)),"",VLOOKUP(C137,P:R,3,0))</f>
        <v/>
      </c>
      <c r="G137">
        <f>ROUND(IF(D137&gt;0,0,ABS(D137)),2)</f>
        <v>0</v>
      </c>
      <c r="H137">
        <f>ROUND(IF(D137&gt;0,D137,),2)</f>
        <v>0</v>
      </c>
      <c r="K137" s="7"/>
      <c r="L137" s="9"/>
      <c r="M137" s="9"/>
      <c r="N137" s="7"/>
      <c r="P137" s="18"/>
      <c r="Q137" s="2"/>
      <c r="R137" s="2"/>
      <c r="AF137" s="14"/>
    </row>
    <row r="138" spans="1:32" customFormat="1" x14ac:dyDescent="0.25">
      <c r="A138" s="9"/>
      <c r="C138" s="14"/>
      <c r="E138" t="str">
        <f>IF(ISNA(VLOOKUP(C138,P:Q,2,0)),"",VLOOKUP(C138,P:Q,2,0))</f>
        <v/>
      </c>
      <c r="F138" s="15" t="str">
        <f>IF(ISNA(VLOOKUP(C138,P:R,3,0)),"",VLOOKUP(C138,P:R,3,0))</f>
        <v/>
      </c>
      <c r="G138">
        <f>ROUND(IF(D138&gt;0,0,ABS(D138)),2)</f>
        <v>0</v>
      </c>
      <c r="H138">
        <f>ROUND(IF(D138&gt;0,D138,),2)</f>
        <v>0</v>
      </c>
      <c r="K138" s="7"/>
      <c r="L138" s="9"/>
      <c r="M138" s="9"/>
      <c r="N138" s="7"/>
      <c r="P138" s="18"/>
      <c r="Q138" s="2"/>
      <c r="R138" s="2"/>
      <c r="AF138" s="14"/>
    </row>
    <row r="139" spans="1:32" customFormat="1" x14ac:dyDescent="0.25">
      <c r="A139" s="9"/>
      <c r="C139" s="14"/>
      <c r="E139" t="str">
        <f>IF(ISNA(VLOOKUP(C139,P:Q,2,0)),"",VLOOKUP(C139,P:Q,2,0))</f>
        <v/>
      </c>
      <c r="F139" s="15" t="str">
        <f>IF(ISNA(VLOOKUP(C139,P:R,3,0)),"",VLOOKUP(C139,P:R,3,0))</f>
        <v/>
      </c>
      <c r="G139">
        <f>ROUND(IF(D139&gt;0,0,ABS(D139)),2)</f>
        <v>0</v>
      </c>
      <c r="H139">
        <f>ROUND(IF(D139&gt;0,D139,),2)</f>
        <v>0</v>
      </c>
      <c r="K139" s="7"/>
      <c r="L139" s="9"/>
      <c r="M139" s="9"/>
      <c r="N139" s="7"/>
      <c r="P139" s="18"/>
      <c r="Q139" s="2"/>
      <c r="R139" s="2"/>
      <c r="AF139" s="14"/>
    </row>
    <row r="140" spans="1:32" customFormat="1" x14ac:dyDescent="0.25">
      <c r="A140" s="9"/>
      <c r="C140" s="14"/>
      <c r="E140" t="str">
        <f>IF(ISNA(VLOOKUP(C140,P:Q,2,0)),"",VLOOKUP(C140,P:Q,2,0))</f>
        <v/>
      </c>
      <c r="F140" s="15" t="str">
        <f>IF(ISNA(VLOOKUP(C140,P:R,3,0)),"",VLOOKUP(C140,P:R,3,0))</f>
        <v/>
      </c>
      <c r="G140">
        <f>ROUND(IF(D140&gt;0,0,ABS(D140)),2)</f>
        <v>0</v>
      </c>
      <c r="H140">
        <f>ROUND(IF(D140&gt;0,D140,),2)</f>
        <v>0</v>
      </c>
      <c r="K140" s="7"/>
      <c r="L140" s="9"/>
      <c r="M140" s="9"/>
      <c r="N140" s="7"/>
      <c r="P140" s="18"/>
      <c r="Q140" s="2"/>
      <c r="R140" s="2"/>
      <c r="AF140" s="14"/>
    </row>
    <row r="141" spans="1:32" customFormat="1" x14ac:dyDescent="0.25">
      <c r="A141" s="9"/>
      <c r="C141" s="14"/>
      <c r="E141" t="str">
        <f>IF(ISNA(VLOOKUP(C141,P:Q,2,0)),"",VLOOKUP(C141,P:Q,2,0))</f>
        <v/>
      </c>
      <c r="F141" s="15" t="str">
        <f>IF(ISNA(VLOOKUP(C141,P:R,3,0)),"",VLOOKUP(C141,P:R,3,0))</f>
        <v/>
      </c>
      <c r="G141">
        <f>ROUND(IF(D141&gt;0,0,ABS(D141)),2)</f>
        <v>0</v>
      </c>
      <c r="H141">
        <f>ROUND(IF(D141&gt;0,D141,),2)</f>
        <v>0</v>
      </c>
      <c r="K141" s="7"/>
      <c r="L141" s="9"/>
      <c r="M141" s="9"/>
      <c r="N141" s="7"/>
      <c r="P141" s="18"/>
      <c r="Q141" s="2"/>
      <c r="R141" s="2"/>
      <c r="AF141" s="14"/>
    </row>
    <row r="142" spans="1:32" customFormat="1" x14ac:dyDescent="0.25">
      <c r="A142" s="9"/>
      <c r="C142" s="14"/>
      <c r="E142" t="str">
        <f>IF(ISNA(VLOOKUP(C142,P:Q,2,0)),"",VLOOKUP(C142,P:Q,2,0))</f>
        <v/>
      </c>
      <c r="F142" s="15" t="str">
        <f>IF(ISNA(VLOOKUP(C142,P:R,3,0)),"",VLOOKUP(C142,P:R,3,0))</f>
        <v/>
      </c>
      <c r="G142">
        <f>ROUND(IF(D142&gt;0,0,ABS(D142)),2)</f>
        <v>0</v>
      </c>
      <c r="H142">
        <f>ROUND(IF(D142&gt;0,D142,),2)</f>
        <v>0</v>
      </c>
      <c r="K142" s="7"/>
      <c r="L142" s="9"/>
      <c r="M142" s="9"/>
      <c r="N142" s="7"/>
      <c r="P142" s="18"/>
      <c r="Q142" s="2"/>
      <c r="R142" s="2"/>
      <c r="AF142" s="14"/>
    </row>
    <row r="143" spans="1:32" customFormat="1" x14ac:dyDescent="0.25">
      <c r="A143" s="9"/>
      <c r="C143" s="14"/>
      <c r="E143" t="str">
        <f>IF(ISNA(VLOOKUP(C143,P:Q,2,0)),"",VLOOKUP(C143,P:Q,2,0))</f>
        <v/>
      </c>
      <c r="F143" s="15" t="str">
        <f>IF(ISNA(VLOOKUP(C143,P:R,3,0)),"",VLOOKUP(C143,P:R,3,0))</f>
        <v/>
      </c>
      <c r="G143">
        <f>ROUND(IF(D143&gt;0,0,ABS(D143)),2)</f>
        <v>0</v>
      </c>
      <c r="H143">
        <f>ROUND(IF(D143&gt;0,D143,),2)</f>
        <v>0</v>
      </c>
      <c r="K143" s="7"/>
      <c r="L143" s="9"/>
      <c r="M143" s="9"/>
      <c r="N143" s="7"/>
      <c r="P143" s="18"/>
      <c r="Q143" s="2"/>
      <c r="R143" s="2"/>
      <c r="AF143" s="14"/>
    </row>
    <row r="144" spans="1:32" customFormat="1" x14ac:dyDescent="0.25">
      <c r="A144" s="9"/>
      <c r="C144" s="14"/>
      <c r="E144" t="str">
        <f>IF(ISNA(VLOOKUP(C144,P:Q,2,0)),"",VLOOKUP(C144,P:Q,2,0))</f>
        <v/>
      </c>
      <c r="F144" s="15" t="str">
        <f>IF(ISNA(VLOOKUP(C144,P:R,3,0)),"",VLOOKUP(C144,P:R,3,0))</f>
        <v/>
      </c>
      <c r="G144">
        <f>ROUND(IF(D144&gt;0,0,ABS(D144)),2)</f>
        <v>0</v>
      </c>
      <c r="H144">
        <f>ROUND(IF(D144&gt;0,D144,),2)</f>
        <v>0</v>
      </c>
      <c r="K144" s="7"/>
      <c r="L144" s="9"/>
      <c r="M144" s="9"/>
      <c r="N144" s="7"/>
      <c r="P144" s="18"/>
      <c r="Q144" s="2"/>
      <c r="R144" s="2"/>
      <c r="AF144" s="14"/>
    </row>
    <row r="145" spans="1:32" customFormat="1" x14ac:dyDescent="0.25">
      <c r="A145" s="9"/>
      <c r="C145" s="14"/>
      <c r="E145" t="str">
        <f>IF(ISNA(VLOOKUP(C145,P:Q,2,0)),"",VLOOKUP(C145,P:Q,2,0))</f>
        <v/>
      </c>
      <c r="F145" s="15" t="str">
        <f>IF(ISNA(VLOOKUP(C145,P:R,3,0)),"",VLOOKUP(C145,P:R,3,0))</f>
        <v/>
      </c>
      <c r="G145">
        <f>ROUND(IF(D145&gt;0,0,ABS(D145)),2)</f>
        <v>0</v>
      </c>
      <c r="H145">
        <f>ROUND(IF(D145&gt;0,D145,),2)</f>
        <v>0</v>
      </c>
      <c r="K145" s="7"/>
      <c r="L145" s="9"/>
      <c r="M145" s="9"/>
      <c r="N145" s="7"/>
      <c r="P145" s="18"/>
      <c r="Q145" s="2"/>
      <c r="R145" s="2"/>
      <c r="AF145" s="14"/>
    </row>
    <row r="146" spans="1:32" customFormat="1" x14ac:dyDescent="0.25">
      <c r="A146" s="9"/>
      <c r="C146" s="14"/>
      <c r="E146" t="str">
        <f>IF(ISNA(VLOOKUP(C146,P:Q,2,0)),"",VLOOKUP(C146,P:Q,2,0))</f>
        <v/>
      </c>
      <c r="F146" s="15" t="str">
        <f>IF(ISNA(VLOOKUP(C146,P:R,3,0)),"",VLOOKUP(C146,P:R,3,0))</f>
        <v/>
      </c>
      <c r="G146">
        <f>ROUND(IF(D146&gt;0,0,ABS(D146)),2)</f>
        <v>0</v>
      </c>
      <c r="H146">
        <f>ROUND(IF(D146&gt;0,D146,),2)</f>
        <v>0</v>
      </c>
      <c r="K146" s="7"/>
      <c r="L146" s="9"/>
      <c r="M146" s="9"/>
      <c r="N146" s="7"/>
      <c r="P146" s="18"/>
      <c r="Q146" s="2"/>
      <c r="R146" s="2"/>
      <c r="AF146" s="14"/>
    </row>
    <row r="147" spans="1:32" customFormat="1" x14ac:dyDescent="0.25">
      <c r="A147" s="9"/>
      <c r="C147" s="14"/>
      <c r="E147" t="str">
        <f>IF(ISNA(VLOOKUP(C147,P:Q,2,0)),"",VLOOKUP(C147,P:Q,2,0))</f>
        <v/>
      </c>
      <c r="F147" s="15" t="str">
        <f>IF(ISNA(VLOOKUP(C147,P:R,3,0)),"",VLOOKUP(C147,P:R,3,0))</f>
        <v/>
      </c>
      <c r="G147">
        <f>ROUND(IF(D147&gt;0,0,ABS(D147)),2)</f>
        <v>0</v>
      </c>
      <c r="H147">
        <f>ROUND(IF(D147&gt;0,D147,),2)</f>
        <v>0</v>
      </c>
      <c r="K147" s="7"/>
      <c r="L147" s="9"/>
      <c r="M147" s="9"/>
      <c r="N147" s="7"/>
      <c r="P147" s="18"/>
      <c r="Q147" s="2"/>
      <c r="R147" s="2"/>
      <c r="AF147" s="14"/>
    </row>
    <row r="148" spans="1:32" customFormat="1" x14ac:dyDescent="0.25">
      <c r="A148" s="9"/>
      <c r="C148" s="14"/>
      <c r="E148" t="str">
        <f>IF(ISNA(VLOOKUP(C148,P:Q,2,0)),"",VLOOKUP(C148,P:Q,2,0))</f>
        <v/>
      </c>
      <c r="F148" s="15" t="str">
        <f>IF(ISNA(VLOOKUP(C148,P:R,3,0)),"",VLOOKUP(C148,P:R,3,0))</f>
        <v/>
      </c>
      <c r="G148">
        <f>ROUND(IF(D148&gt;0,0,ABS(D148)),2)</f>
        <v>0</v>
      </c>
      <c r="H148">
        <f>ROUND(IF(D148&gt;0,D148,),2)</f>
        <v>0</v>
      </c>
      <c r="K148" s="7"/>
      <c r="L148" s="9"/>
      <c r="M148" s="9"/>
      <c r="N148" s="7"/>
      <c r="P148" s="18"/>
      <c r="Q148" s="2"/>
      <c r="R148" s="2"/>
      <c r="AF148" s="14"/>
    </row>
    <row r="149" spans="1:32" customFormat="1" x14ac:dyDescent="0.25">
      <c r="A149" s="9"/>
      <c r="C149" s="14"/>
      <c r="E149" t="str">
        <f>IF(ISNA(VLOOKUP(C149,P:Q,2,0)),"",VLOOKUP(C149,P:Q,2,0))</f>
        <v/>
      </c>
      <c r="F149" s="15" t="str">
        <f>IF(ISNA(VLOOKUP(C149,P:R,3,0)),"",VLOOKUP(C149,P:R,3,0))</f>
        <v/>
      </c>
      <c r="G149">
        <f>ROUND(IF(D149&gt;0,0,ABS(D149)),2)</f>
        <v>0</v>
      </c>
      <c r="H149">
        <f>ROUND(IF(D149&gt;0,D149,),2)</f>
        <v>0</v>
      </c>
      <c r="K149" s="7"/>
      <c r="L149" s="9"/>
      <c r="M149" s="9"/>
      <c r="N149" s="7"/>
      <c r="P149" s="18"/>
      <c r="Q149" s="2"/>
      <c r="R149" s="2"/>
      <c r="AF149" s="14"/>
    </row>
    <row r="150" spans="1:32" customFormat="1" x14ac:dyDescent="0.25">
      <c r="A150" s="9"/>
      <c r="C150" s="14"/>
      <c r="E150" t="str">
        <f>IF(ISNA(VLOOKUP(C150,P:Q,2,0)),"",VLOOKUP(C150,P:Q,2,0))</f>
        <v/>
      </c>
      <c r="F150" s="15" t="str">
        <f>IF(ISNA(VLOOKUP(C150,P:R,3,0)),"",VLOOKUP(C150,P:R,3,0))</f>
        <v/>
      </c>
      <c r="G150">
        <f>ROUND(IF(D150&gt;0,0,ABS(D150)),2)</f>
        <v>0</v>
      </c>
      <c r="H150">
        <f>ROUND(IF(D150&gt;0,D150,),2)</f>
        <v>0</v>
      </c>
      <c r="K150" s="7"/>
      <c r="L150" s="9"/>
      <c r="M150" s="9"/>
      <c r="N150" s="7"/>
      <c r="P150" s="18"/>
      <c r="Q150" s="2"/>
      <c r="R150" s="2"/>
      <c r="AF150" s="14"/>
    </row>
    <row r="151" spans="1:32" customFormat="1" x14ac:dyDescent="0.25">
      <c r="A151" s="9"/>
      <c r="C151" s="14"/>
      <c r="E151" t="str">
        <f>IF(ISNA(VLOOKUP(C151,P:Q,2,0)),"",VLOOKUP(C151,P:Q,2,0))</f>
        <v/>
      </c>
      <c r="F151" s="15" t="str">
        <f>IF(ISNA(VLOOKUP(C151,P:R,3,0)),"",VLOOKUP(C151,P:R,3,0))</f>
        <v/>
      </c>
      <c r="G151">
        <f>ROUND(IF(D151&gt;0,0,ABS(D151)),2)</f>
        <v>0</v>
      </c>
      <c r="H151">
        <f>ROUND(IF(D151&gt;0,D151,),2)</f>
        <v>0</v>
      </c>
      <c r="K151" s="7"/>
      <c r="L151" s="9"/>
      <c r="M151" s="9"/>
      <c r="N151" s="7"/>
      <c r="P151" s="18"/>
      <c r="Q151" s="2"/>
      <c r="R151" s="2"/>
      <c r="AF151" s="14"/>
    </row>
    <row r="152" spans="1:32" customFormat="1" x14ac:dyDescent="0.25">
      <c r="A152" s="9"/>
      <c r="C152" s="14"/>
      <c r="E152" t="str">
        <f>IF(ISNA(VLOOKUP(C152,P:Q,2,0)),"",VLOOKUP(C152,P:Q,2,0))</f>
        <v/>
      </c>
      <c r="F152" s="15" t="str">
        <f>IF(ISNA(VLOOKUP(C152,P:R,3,0)),"",VLOOKUP(C152,P:R,3,0))</f>
        <v/>
      </c>
      <c r="G152">
        <f>ROUND(IF(D152&gt;0,0,ABS(D152)),2)</f>
        <v>0</v>
      </c>
      <c r="H152">
        <f>ROUND(IF(D152&gt;0,D152,),2)</f>
        <v>0</v>
      </c>
      <c r="K152" s="7"/>
      <c r="L152" s="9"/>
      <c r="M152" s="9"/>
      <c r="N152" s="7"/>
      <c r="P152" s="18"/>
      <c r="Q152" s="2"/>
      <c r="R152" s="2"/>
      <c r="AF152" s="14"/>
    </row>
    <row r="153" spans="1:32" customFormat="1" x14ac:dyDescent="0.25">
      <c r="A153" s="9"/>
      <c r="C153" s="14"/>
      <c r="E153" t="str">
        <f>IF(ISNA(VLOOKUP(C153,P:Q,2,0)),"",VLOOKUP(C153,P:Q,2,0))</f>
        <v/>
      </c>
      <c r="F153" s="15" t="str">
        <f>IF(ISNA(VLOOKUP(C153,P:R,3,0)),"",VLOOKUP(C153,P:R,3,0))</f>
        <v/>
      </c>
      <c r="G153">
        <f>ROUND(IF(D153&gt;0,0,ABS(D153)),2)</f>
        <v>0</v>
      </c>
      <c r="H153">
        <f>ROUND(IF(D153&gt;0,D153,),2)</f>
        <v>0</v>
      </c>
      <c r="K153" s="7"/>
      <c r="L153" s="9"/>
      <c r="M153" s="9"/>
      <c r="N153" s="7"/>
      <c r="P153" s="18"/>
      <c r="Q153" s="2"/>
      <c r="R153" s="2"/>
      <c r="AF153" s="14"/>
    </row>
    <row r="154" spans="1:32" customFormat="1" x14ac:dyDescent="0.25">
      <c r="A154" s="9"/>
      <c r="C154" s="14"/>
      <c r="E154" t="str">
        <f>IF(ISNA(VLOOKUP(C154,P:Q,2,0)),"",VLOOKUP(C154,P:Q,2,0))</f>
        <v/>
      </c>
      <c r="F154" s="15" t="str">
        <f>IF(ISNA(VLOOKUP(C154,P:R,3,0)),"",VLOOKUP(C154,P:R,3,0))</f>
        <v/>
      </c>
      <c r="G154">
        <f>ROUND(IF(D154&gt;0,0,ABS(D154)),2)</f>
        <v>0</v>
      </c>
      <c r="H154">
        <f>ROUND(IF(D154&gt;0,D154,),2)</f>
        <v>0</v>
      </c>
      <c r="K154" s="7"/>
      <c r="L154" s="9"/>
      <c r="M154" s="9"/>
      <c r="N154" s="7"/>
      <c r="P154" s="18"/>
      <c r="Q154" s="2"/>
      <c r="R154" s="2"/>
      <c r="AF154" s="14"/>
    </row>
    <row r="155" spans="1:32" customFormat="1" x14ac:dyDescent="0.25">
      <c r="A155" s="9"/>
      <c r="C155" s="14"/>
      <c r="E155" t="str">
        <f>IF(ISNA(VLOOKUP(C155,P:Q,2,0)),"",VLOOKUP(C155,P:Q,2,0))</f>
        <v/>
      </c>
      <c r="F155" s="15" t="str">
        <f>IF(ISNA(VLOOKUP(C155,P:R,3,0)),"",VLOOKUP(C155,P:R,3,0))</f>
        <v/>
      </c>
      <c r="G155">
        <f>ROUND(IF(D155&gt;0,0,ABS(D155)),2)</f>
        <v>0</v>
      </c>
      <c r="H155">
        <f>ROUND(IF(D155&gt;0,D155,),2)</f>
        <v>0</v>
      </c>
      <c r="K155" s="7"/>
      <c r="L155" s="9"/>
      <c r="M155" s="9"/>
      <c r="N155" s="7"/>
      <c r="P155" s="18"/>
      <c r="Q155" s="2"/>
      <c r="R155" s="2"/>
      <c r="AF155" s="14"/>
    </row>
    <row r="156" spans="1:32" customFormat="1" x14ac:dyDescent="0.25">
      <c r="A156" s="9"/>
      <c r="C156" s="14"/>
      <c r="E156" t="str">
        <f>IF(ISNA(VLOOKUP(C156,P:Q,2,0)),"",VLOOKUP(C156,P:Q,2,0))</f>
        <v/>
      </c>
      <c r="F156" s="15" t="str">
        <f>IF(ISNA(VLOOKUP(C156,P:R,3,0)),"",VLOOKUP(C156,P:R,3,0))</f>
        <v/>
      </c>
      <c r="G156">
        <f>ROUND(IF(D156&gt;0,0,ABS(D156)),2)</f>
        <v>0</v>
      </c>
      <c r="H156">
        <f>ROUND(IF(D156&gt;0,D156,),2)</f>
        <v>0</v>
      </c>
      <c r="K156" s="7"/>
      <c r="L156" s="9"/>
      <c r="M156" s="9"/>
      <c r="N156" s="7"/>
      <c r="P156" s="18"/>
      <c r="Q156" s="2"/>
      <c r="R156" s="2"/>
      <c r="AF156" s="14"/>
    </row>
    <row r="157" spans="1:32" customFormat="1" x14ac:dyDescent="0.25">
      <c r="A157" s="9"/>
      <c r="C157" s="14"/>
      <c r="E157" t="str">
        <f>IF(ISNA(VLOOKUP(C157,P:Q,2,0)),"",VLOOKUP(C157,P:Q,2,0))</f>
        <v/>
      </c>
      <c r="F157" s="15" t="str">
        <f>IF(ISNA(VLOOKUP(C157,P:R,3,0)),"",VLOOKUP(C157,P:R,3,0))</f>
        <v/>
      </c>
      <c r="G157">
        <f>ROUND(IF(D157&gt;0,0,ABS(D157)),2)</f>
        <v>0</v>
      </c>
      <c r="H157">
        <f>ROUND(IF(D157&gt;0,D157,),2)</f>
        <v>0</v>
      </c>
      <c r="K157" s="7"/>
      <c r="L157" s="9"/>
      <c r="M157" s="9"/>
      <c r="N157" s="7"/>
      <c r="P157" s="18"/>
      <c r="Q157" s="2"/>
      <c r="R157" s="2"/>
      <c r="AF157" s="14"/>
    </row>
    <row r="158" spans="1:32" customFormat="1" x14ac:dyDescent="0.25">
      <c r="A158" s="9"/>
      <c r="C158" s="14"/>
      <c r="E158" t="str">
        <f>IF(ISNA(VLOOKUP(C158,P:Q,2,0)),"",VLOOKUP(C158,P:Q,2,0))</f>
        <v/>
      </c>
      <c r="F158" s="15" t="str">
        <f>IF(ISNA(VLOOKUP(C158,P:R,3,0)),"",VLOOKUP(C158,P:R,3,0))</f>
        <v/>
      </c>
      <c r="G158">
        <f>ROUND(IF(D158&gt;0,0,ABS(D158)),2)</f>
        <v>0</v>
      </c>
      <c r="H158">
        <f>ROUND(IF(D158&gt;0,D158,),2)</f>
        <v>0</v>
      </c>
      <c r="K158" s="7"/>
      <c r="L158" s="9"/>
      <c r="M158" s="9"/>
      <c r="N158" s="7"/>
      <c r="P158" s="18"/>
      <c r="Q158" s="2"/>
      <c r="R158" s="2"/>
      <c r="AF158" s="14"/>
    </row>
    <row r="159" spans="1:32" customFormat="1" x14ac:dyDescent="0.25">
      <c r="A159" s="9"/>
      <c r="C159" s="14"/>
      <c r="E159" t="str">
        <f>IF(ISNA(VLOOKUP(C159,P:Q,2,0)),"",VLOOKUP(C159,P:Q,2,0))</f>
        <v/>
      </c>
      <c r="F159" s="15" t="str">
        <f>IF(ISNA(VLOOKUP(C159,P:R,3,0)),"",VLOOKUP(C159,P:R,3,0))</f>
        <v/>
      </c>
      <c r="G159">
        <f>ROUND(IF(D159&gt;0,0,ABS(D159)),2)</f>
        <v>0</v>
      </c>
      <c r="H159">
        <f>ROUND(IF(D159&gt;0,D159,),2)</f>
        <v>0</v>
      </c>
      <c r="K159" s="7"/>
      <c r="L159" s="9"/>
      <c r="M159" s="9"/>
      <c r="N159" s="7"/>
      <c r="P159" s="18"/>
      <c r="Q159" s="2"/>
      <c r="R159" s="2"/>
      <c r="AF159" s="14"/>
    </row>
    <row r="160" spans="1:32" customFormat="1" x14ac:dyDescent="0.25">
      <c r="A160" s="9"/>
      <c r="C160" s="14"/>
      <c r="E160" t="str">
        <f>IF(ISNA(VLOOKUP(C160,P:Q,2,0)),"",VLOOKUP(C160,P:Q,2,0))</f>
        <v/>
      </c>
      <c r="F160" s="15" t="str">
        <f>IF(ISNA(VLOOKUP(C160,P:R,3,0)),"",VLOOKUP(C160,P:R,3,0))</f>
        <v/>
      </c>
      <c r="G160">
        <f>ROUND(IF(D160&gt;0,0,ABS(D160)),2)</f>
        <v>0</v>
      </c>
      <c r="H160">
        <f>ROUND(IF(D160&gt;0,D160,),2)</f>
        <v>0</v>
      </c>
      <c r="K160" s="7"/>
      <c r="L160" s="9"/>
      <c r="M160" s="9"/>
      <c r="N160" s="7"/>
      <c r="P160" s="18"/>
      <c r="Q160" s="2"/>
      <c r="R160" s="2"/>
      <c r="AF160" s="14"/>
    </row>
    <row r="161" spans="1:32" customFormat="1" x14ac:dyDescent="0.25">
      <c r="A161" s="9"/>
      <c r="C161" s="14"/>
      <c r="E161" t="str">
        <f>IF(ISNA(VLOOKUP(C161,P:Q,2,0)),"",VLOOKUP(C161,P:Q,2,0))</f>
        <v/>
      </c>
      <c r="F161" s="15" t="str">
        <f>IF(ISNA(VLOOKUP(C161,P:R,3,0)),"",VLOOKUP(C161,P:R,3,0))</f>
        <v/>
      </c>
      <c r="G161">
        <f>ROUND(IF(D161&gt;0,0,ABS(D161)),2)</f>
        <v>0</v>
      </c>
      <c r="H161">
        <f>ROUND(IF(D161&gt;0,D161,),2)</f>
        <v>0</v>
      </c>
      <c r="K161" s="7"/>
      <c r="L161" s="9"/>
      <c r="M161" s="9"/>
      <c r="N161" s="7"/>
      <c r="P161" s="18"/>
      <c r="Q161" s="2"/>
      <c r="R161" s="2"/>
      <c r="AF161" s="14"/>
    </row>
    <row r="162" spans="1:32" customFormat="1" x14ac:dyDescent="0.25">
      <c r="A162" s="9"/>
      <c r="C162" s="14"/>
      <c r="E162" t="str">
        <f>IF(ISNA(VLOOKUP(C162,P:Q,2,0)),"",VLOOKUP(C162,P:Q,2,0))</f>
        <v/>
      </c>
      <c r="F162" s="15" t="str">
        <f>IF(ISNA(VLOOKUP(C162,P:R,3,0)),"",VLOOKUP(C162,P:R,3,0))</f>
        <v/>
      </c>
      <c r="G162">
        <f>ROUND(IF(D162&gt;0,0,ABS(D162)),2)</f>
        <v>0</v>
      </c>
      <c r="H162">
        <f>ROUND(IF(D162&gt;0,D162,),2)</f>
        <v>0</v>
      </c>
      <c r="K162" s="7"/>
      <c r="L162" s="9"/>
      <c r="M162" s="9"/>
      <c r="N162" s="7"/>
      <c r="P162" s="18"/>
      <c r="Q162" s="2"/>
      <c r="R162" s="2"/>
      <c r="AF162" s="14"/>
    </row>
    <row r="163" spans="1:32" customFormat="1" x14ac:dyDescent="0.25">
      <c r="A163" s="9"/>
      <c r="C163" s="14"/>
      <c r="E163" t="str">
        <f>IF(ISNA(VLOOKUP(C163,P:Q,2,0)),"",VLOOKUP(C163,P:Q,2,0))</f>
        <v/>
      </c>
      <c r="F163" s="15" t="str">
        <f>IF(ISNA(VLOOKUP(C163,P:R,3,0)),"",VLOOKUP(C163,P:R,3,0))</f>
        <v/>
      </c>
      <c r="G163">
        <f>ROUND(IF(D163&gt;0,0,ABS(D163)),2)</f>
        <v>0</v>
      </c>
      <c r="H163">
        <f>ROUND(IF(D163&gt;0,D163,),2)</f>
        <v>0</v>
      </c>
      <c r="K163" s="7"/>
      <c r="L163" s="9"/>
      <c r="M163" s="9"/>
      <c r="N163" s="7"/>
      <c r="P163" s="18"/>
      <c r="Q163" s="2"/>
      <c r="R163" s="2"/>
      <c r="AF163" s="14"/>
    </row>
    <row r="164" spans="1:32" customFormat="1" x14ac:dyDescent="0.25">
      <c r="A164" s="9"/>
      <c r="C164" s="14"/>
      <c r="E164" t="str">
        <f>IF(ISNA(VLOOKUP(C164,P:Q,2,0)),"",VLOOKUP(C164,P:Q,2,0))</f>
        <v/>
      </c>
      <c r="F164" s="15" t="str">
        <f>IF(ISNA(VLOOKUP(C164,P:R,3,0)),"",VLOOKUP(C164,P:R,3,0))</f>
        <v/>
      </c>
      <c r="G164">
        <f>ROUND(IF(D164&gt;0,0,ABS(D164)),2)</f>
        <v>0</v>
      </c>
      <c r="H164">
        <f>ROUND(IF(D164&gt;0,D164,),2)</f>
        <v>0</v>
      </c>
      <c r="K164" s="7"/>
      <c r="L164" s="9"/>
      <c r="M164" s="9"/>
      <c r="N164" s="7"/>
      <c r="P164" s="18"/>
      <c r="Q164" s="2"/>
      <c r="R164" s="2"/>
      <c r="AF164" s="14"/>
    </row>
    <row r="165" spans="1:32" customFormat="1" x14ac:dyDescent="0.25">
      <c r="A165" s="9"/>
      <c r="C165" s="14"/>
      <c r="E165" t="str">
        <f>IF(ISNA(VLOOKUP(C165,P:Q,2,0)),"",VLOOKUP(C165,P:Q,2,0))</f>
        <v/>
      </c>
      <c r="F165" s="15" t="str">
        <f>IF(ISNA(VLOOKUP(C165,P:R,3,0)),"",VLOOKUP(C165,P:R,3,0))</f>
        <v/>
      </c>
      <c r="G165">
        <f>ROUND(IF(D165&gt;0,0,ABS(D165)),2)</f>
        <v>0</v>
      </c>
      <c r="H165">
        <f>ROUND(IF(D165&gt;0,D165,),2)</f>
        <v>0</v>
      </c>
      <c r="K165" s="7"/>
      <c r="L165" s="9"/>
      <c r="M165" s="9"/>
      <c r="N165" s="7"/>
      <c r="P165" s="18"/>
      <c r="Q165" s="2"/>
      <c r="R165" s="2"/>
      <c r="AF165" s="14"/>
    </row>
    <row r="166" spans="1:32" customFormat="1" x14ac:dyDescent="0.25">
      <c r="A166" s="9"/>
      <c r="C166" s="14"/>
      <c r="E166" t="str">
        <f>IF(ISNA(VLOOKUP(C166,P:Q,2,0)),"",VLOOKUP(C166,P:Q,2,0))</f>
        <v/>
      </c>
      <c r="F166" s="15" t="str">
        <f>IF(ISNA(VLOOKUP(C166,P:R,3,0)),"",VLOOKUP(C166,P:R,3,0))</f>
        <v/>
      </c>
      <c r="G166">
        <f>ROUND(IF(D166&gt;0,0,ABS(D166)),2)</f>
        <v>0</v>
      </c>
      <c r="H166">
        <f>ROUND(IF(D166&gt;0,D166,),2)</f>
        <v>0</v>
      </c>
      <c r="K166" s="7"/>
      <c r="L166" s="9"/>
      <c r="M166" s="9"/>
      <c r="N166" s="7"/>
      <c r="P166" s="18"/>
      <c r="Q166" s="2"/>
      <c r="R166" s="2"/>
      <c r="AF166" s="14"/>
    </row>
    <row r="167" spans="1:32" customFormat="1" x14ac:dyDescent="0.25">
      <c r="A167" s="9"/>
      <c r="C167" s="14"/>
      <c r="E167" t="str">
        <f>IF(ISNA(VLOOKUP(C167,P:Q,2,0)),"",VLOOKUP(C167,P:Q,2,0))</f>
        <v/>
      </c>
      <c r="F167" s="15" t="str">
        <f>IF(ISNA(VLOOKUP(C167,P:R,3,0)),"",VLOOKUP(C167,P:R,3,0))</f>
        <v/>
      </c>
      <c r="G167">
        <f>ROUND(IF(D167&gt;0,0,ABS(D167)),2)</f>
        <v>0</v>
      </c>
      <c r="H167">
        <f>ROUND(IF(D167&gt;0,D167,),2)</f>
        <v>0</v>
      </c>
      <c r="K167" s="7"/>
      <c r="L167" s="9"/>
      <c r="M167" s="9"/>
      <c r="N167" s="7"/>
      <c r="P167" s="18"/>
      <c r="Q167" s="2"/>
      <c r="R167" s="2"/>
      <c r="AF167" s="14"/>
    </row>
    <row r="168" spans="1:32" customFormat="1" x14ac:dyDescent="0.25">
      <c r="A168" s="9"/>
      <c r="C168" s="14"/>
      <c r="E168" t="str">
        <f>IF(ISNA(VLOOKUP(C168,P:Q,2,0)),"",VLOOKUP(C168,P:Q,2,0))</f>
        <v/>
      </c>
      <c r="F168" s="15" t="str">
        <f>IF(ISNA(VLOOKUP(C168,P:R,3,0)),"",VLOOKUP(C168,P:R,3,0))</f>
        <v/>
      </c>
      <c r="G168">
        <f>ROUND(IF(D168&gt;0,0,ABS(D168)),2)</f>
        <v>0</v>
      </c>
      <c r="H168">
        <f>ROUND(IF(D168&gt;0,D168,),2)</f>
        <v>0</v>
      </c>
      <c r="K168" s="7"/>
      <c r="L168" s="9"/>
      <c r="M168" s="9"/>
      <c r="N168" s="7"/>
      <c r="P168" s="18"/>
      <c r="Q168" s="2"/>
      <c r="R168" s="2"/>
      <c r="AF168" s="14"/>
    </row>
    <row r="169" spans="1:32" customFormat="1" x14ac:dyDescent="0.25">
      <c r="A169" s="9"/>
      <c r="C169" s="14"/>
      <c r="E169" t="str">
        <f>IF(ISNA(VLOOKUP(C169,P:Q,2,0)),"",VLOOKUP(C169,P:Q,2,0))</f>
        <v/>
      </c>
      <c r="F169" s="15" t="str">
        <f>IF(ISNA(VLOOKUP(C169,P:R,3,0)),"",VLOOKUP(C169,P:R,3,0))</f>
        <v/>
      </c>
      <c r="G169">
        <f>ROUND(IF(D169&gt;0,0,ABS(D169)),2)</f>
        <v>0</v>
      </c>
      <c r="H169">
        <f>ROUND(IF(D169&gt;0,D169,),2)</f>
        <v>0</v>
      </c>
      <c r="K169" s="7"/>
      <c r="L169" s="9"/>
      <c r="M169" s="9"/>
      <c r="N169" s="7"/>
      <c r="P169" s="18"/>
      <c r="Q169" s="2"/>
      <c r="R169" s="2"/>
      <c r="AF169" s="14"/>
    </row>
    <row r="170" spans="1:32" customFormat="1" x14ac:dyDescent="0.25">
      <c r="A170" s="9"/>
      <c r="C170" s="14"/>
      <c r="E170" t="str">
        <f>IF(ISNA(VLOOKUP(C170,P:Q,2,0)),"",VLOOKUP(C170,P:Q,2,0))</f>
        <v/>
      </c>
      <c r="F170" s="15" t="str">
        <f>IF(ISNA(VLOOKUP(C170,P:R,3,0)),"",VLOOKUP(C170,P:R,3,0))</f>
        <v/>
      </c>
      <c r="G170">
        <f>ROUND(IF(D170&gt;0,0,ABS(D170)),2)</f>
        <v>0</v>
      </c>
      <c r="H170">
        <f>ROUND(IF(D170&gt;0,D170,),2)</f>
        <v>0</v>
      </c>
      <c r="K170" s="7"/>
      <c r="L170" s="9"/>
      <c r="M170" s="9"/>
      <c r="N170" s="7"/>
      <c r="P170" s="18"/>
      <c r="Q170" s="2"/>
      <c r="R170" s="2"/>
      <c r="AF170" s="14"/>
    </row>
    <row r="171" spans="1:32" customFormat="1" x14ac:dyDescent="0.25">
      <c r="A171" s="9"/>
      <c r="C171" s="14"/>
      <c r="E171" t="str">
        <f>IF(ISNA(VLOOKUP(C171,P:Q,2,0)),"",VLOOKUP(C171,P:Q,2,0))</f>
        <v/>
      </c>
      <c r="F171" s="15" t="str">
        <f>IF(ISNA(VLOOKUP(C171,P:R,3,0)),"",VLOOKUP(C171,P:R,3,0))</f>
        <v/>
      </c>
      <c r="G171">
        <f>ROUND(IF(D171&gt;0,0,ABS(D171)),2)</f>
        <v>0</v>
      </c>
      <c r="H171">
        <f>ROUND(IF(D171&gt;0,D171,),2)</f>
        <v>0</v>
      </c>
      <c r="K171" s="7"/>
      <c r="L171" s="9"/>
      <c r="M171" s="9"/>
      <c r="N171" s="7"/>
      <c r="P171" s="18"/>
      <c r="Q171" s="2"/>
      <c r="R171" s="2"/>
      <c r="AF171" s="14"/>
    </row>
    <row r="172" spans="1:32" customFormat="1" x14ac:dyDescent="0.25">
      <c r="A172" s="9"/>
      <c r="C172" s="14"/>
      <c r="E172" t="str">
        <f>IF(ISNA(VLOOKUP(C172,P:Q,2,0)),"",VLOOKUP(C172,P:Q,2,0))</f>
        <v/>
      </c>
      <c r="F172" s="15" t="str">
        <f>IF(ISNA(VLOOKUP(C172,P:R,3,0)),"",VLOOKUP(C172,P:R,3,0))</f>
        <v/>
      </c>
      <c r="G172">
        <f>ROUND(IF(D172&gt;0,0,ABS(D172)),2)</f>
        <v>0</v>
      </c>
      <c r="H172">
        <f>ROUND(IF(D172&gt;0,D172,),2)</f>
        <v>0</v>
      </c>
      <c r="K172" s="7"/>
      <c r="L172" s="9"/>
      <c r="M172" s="9"/>
      <c r="N172" s="7"/>
      <c r="P172" s="18"/>
      <c r="Q172" s="2"/>
      <c r="R172" s="2"/>
      <c r="AF172" s="14"/>
    </row>
    <row r="173" spans="1:32" customFormat="1" x14ac:dyDescent="0.25">
      <c r="A173" s="9"/>
      <c r="C173" s="14"/>
      <c r="E173" t="str">
        <f>IF(ISNA(VLOOKUP(C173,P:Q,2,0)),"",VLOOKUP(C173,P:Q,2,0))</f>
        <v/>
      </c>
      <c r="F173" s="15" t="str">
        <f>IF(ISNA(VLOOKUP(C173,P:R,3,0)),"",VLOOKUP(C173,P:R,3,0))</f>
        <v/>
      </c>
      <c r="G173">
        <f>ROUND(IF(D173&gt;0,0,ABS(D173)),2)</f>
        <v>0</v>
      </c>
      <c r="H173">
        <f>ROUND(IF(D173&gt;0,D173,),2)</f>
        <v>0</v>
      </c>
      <c r="K173" s="7"/>
      <c r="L173" s="9"/>
      <c r="M173" s="9"/>
      <c r="N173" s="7"/>
      <c r="P173" s="18"/>
      <c r="Q173" s="2"/>
      <c r="R173" s="2"/>
      <c r="AF173" s="14"/>
    </row>
    <row r="174" spans="1:32" customFormat="1" x14ac:dyDescent="0.25">
      <c r="A174" s="9"/>
      <c r="C174" s="14"/>
      <c r="E174" t="str">
        <f>IF(ISNA(VLOOKUP(C174,P:Q,2,0)),"",VLOOKUP(C174,P:Q,2,0))</f>
        <v/>
      </c>
      <c r="F174" s="15" t="str">
        <f>IF(ISNA(VLOOKUP(C174,P:R,3,0)),"",VLOOKUP(C174,P:R,3,0))</f>
        <v/>
      </c>
      <c r="G174">
        <f>ROUND(IF(D174&gt;0,0,ABS(D174)),2)</f>
        <v>0</v>
      </c>
      <c r="H174">
        <f>ROUND(IF(D174&gt;0,D174,),2)</f>
        <v>0</v>
      </c>
      <c r="K174" s="7"/>
      <c r="L174" s="9"/>
      <c r="M174" s="9"/>
      <c r="N174" s="7"/>
      <c r="P174" s="18"/>
      <c r="Q174" s="2"/>
      <c r="R174" s="2"/>
      <c r="AF174" s="14"/>
    </row>
    <row r="175" spans="1:32" customFormat="1" x14ac:dyDescent="0.25">
      <c r="A175" s="9"/>
      <c r="C175" s="14"/>
      <c r="E175" t="str">
        <f>IF(ISNA(VLOOKUP(C175,P:Q,2,0)),"",VLOOKUP(C175,P:Q,2,0))</f>
        <v/>
      </c>
      <c r="F175" s="15" t="str">
        <f>IF(ISNA(VLOOKUP(C175,P:R,3,0)),"",VLOOKUP(C175,P:R,3,0))</f>
        <v/>
      </c>
      <c r="G175">
        <f>ROUND(IF(D175&gt;0,0,ABS(D175)),2)</f>
        <v>0</v>
      </c>
      <c r="H175">
        <f>ROUND(IF(D175&gt;0,D175,),2)</f>
        <v>0</v>
      </c>
      <c r="K175" s="7"/>
      <c r="L175" s="9"/>
      <c r="M175" s="9"/>
      <c r="N175" s="7"/>
      <c r="P175" s="18"/>
      <c r="Q175" s="2"/>
      <c r="R175" s="2"/>
      <c r="AF175" s="14"/>
    </row>
    <row r="176" spans="1:32" customFormat="1" x14ac:dyDescent="0.25">
      <c r="A176" s="9"/>
      <c r="C176" s="14"/>
      <c r="E176" t="str">
        <f>IF(ISNA(VLOOKUP(C176,P:Q,2,0)),"",VLOOKUP(C176,P:Q,2,0))</f>
        <v/>
      </c>
      <c r="F176" s="15" t="str">
        <f>IF(ISNA(VLOOKUP(C176,P:R,3,0)),"",VLOOKUP(C176,P:R,3,0))</f>
        <v/>
      </c>
      <c r="G176">
        <f>ROUND(IF(D176&gt;0,0,ABS(D176)),2)</f>
        <v>0</v>
      </c>
      <c r="H176">
        <f>ROUND(IF(D176&gt;0,D176,),2)</f>
        <v>0</v>
      </c>
      <c r="K176" s="7"/>
      <c r="L176" s="9"/>
      <c r="M176" s="9"/>
      <c r="N176" s="7"/>
      <c r="P176" s="18"/>
      <c r="Q176" s="2"/>
      <c r="R176" s="2"/>
      <c r="AF176" s="14"/>
    </row>
    <row r="177" spans="1:32" customFormat="1" x14ac:dyDescent="0.25">
      <c r="A177" s="9"/>
      <c r="C177" s="14"/>
      <c r="E177" t="str">
        <f>IF(ISNA(VLOOKUP(C177,P:Q,2,0)),"",VLOOKUP(C177,P:Q,2,0))</f>
        <v/>
      </c>
      <c r="F177" s="15" t="str">
        <f>IF(ISNA(VLOOKUP(C177,P:R,3,0)),"",VLOOKUP(C177,P:R,3,0))</f>
        <v/>
      </c>
      <c r="G177">
        <f>ROUND(IF(D177&gt;0,0,ABS(D177)),2)</f>
        <v>0</v>
      </c>
      <c r="H177">
        <f>ROUND(IF(D177&gt;0,D177,),2)</f>
        <v>0</v>
      </c>
      <c r="K177" s="7"/>
      <c r="L177" s="9"/>
      <c r="M177" s="9"/>
      <c r="N177" s="7"/>
      <c r="P177" s="18"/>
      <c r="Q177" s="2"/>
      <c r="R177" s="2"/>
      <c r="AF177" s="14"/>
    </row>
    <row r="178" spans="1:32" customFormat="1" x14ac:dyDescent="0.25">
      <c r="A178" s="9"/>
      <c r="C178" s="14"/>
      <c r="E178" t="str">
        <f>IF(ISNA(VLOOKUP(C178,P:Q,2,0)),"",VLOOKUP(C178,P:Q,2,0))</f>
        <v/>
      </c>
      <c r="F178" s="15" t="str">
        <f>IF(ISNA(VLOOKUP(C178,P:R,3,0)),"",VLOOKUP(C178,P:R,3,0))</f>
        <v/>
      </c>
      <c r="G178">
        <f>ROUND(IF(D178&gt;0,0,ABS(D178)),2)</f>
        <v>0</v>
      </c>
      <c r="H178">
        <f>ROUND(IF(D178&gt;0,D178,),2)</f>
        <v>0</v>
      </c>
      <c r="K178" s="7"/>
      <c r="L178" s="9"/>
      <c r="M178" s="9"/>
      <c r="N178" s="7"/>
      <c r="P178" s="18"/>
      <c r="Q178" s="2"/>
      <c r="R178" s="2"/>
      <c r="AF178" s="14"/>
    </row>
    <row r="179" spans="1:32" customFormat="1" x14ac:dyDescent="0.25">
      <c r="A179" s="9"/>
      <c r="C179" s="14"/>
      <c r="E179" t="str">
        <f>IF(ISNA(VLOOKUP(C179,P:Q,2,0)),"",VLOOKUP(C179,P:Q,2,0))</f>
        <v/>
      </c>
      <c r="F179" s="15" t="str">
        <f>IF(ISNA(VLOOKUP(C179,P:R,3,0)),"",VLOOKUP(C179,P:R,3,0))</f>
        <v/>
      </c>
      <c r="G179">
        <f>ROUND(IF(D179&gt;0,0,ABS(D179)),2)</f>
        <v>0</v>
      </c>
      <c r="H179">
        <f>ROUND(IF(D179&gt;0,D179,),2)</f>
        <v>0</v>
      </c>
      <c r="K179" s="7"/>
      <c r="L179" s="9"/>
      <c r="M179" s="9"/>
      <c r="N179" s="7"/>
      <c r="P179" s="18"/>
      <c r="Q179" s="2"/>
      <c r="R179" s="2"/>
      <c r="AF179" s="14"/>
    </row>
    <row r="180" spans="1:32" customFormat="1" x14ac:dyDescent="0.25">
      <c r="A180" s="9"/>
      <c r="C180" s="14"/>
      <c r="E180" t="str">
        <f>IF(ISNA(VLOOKUP(C180,P:Q,2,0)),"",VLOOKUP(C180,P:Q,2,0))</f>
        <v/>
      </c>
      <c r="F180" s="15" t="str">
        <f>IF(ISNA(VLOOKUP(C180,P:R,3,0)),"",VLOOKUP(C180,P:R,3,0))</f>
        <v/>
      </c>
      <c r="G180">
        <f>ROUND(IF(D180&gt;0,0,ABS(D180)),2)</f>
        <v>0</v>
      </c>
      <c r="H180">
        <f>ROUND(IF(D180&gt;0,D180,),2)</f>
        <v>0</v>
      </c>
      <c r="K180" s="7"/>
      <c r="L180" s="9"/>
      <c r="M180" s="9"/>
      <c r="N180" s="7"/>
      <c r="P180" s="18"/>
      <c r="Q180" s="2"/>
      <c r="R180" s="2"/>
      <c r="AF180" s="14"/>
    </row>
    <row r="181" spans="1:32" customFormat="1" x14ac:dyDescent="0.25">
      <c r="A181" s="9"/>
      <c r="C181" s="14"/>
      <c r="E181" t="str">
        <f>IF(ISNA(VLOOKUP(C181,P:Q,2,0)),"",VLOOKUP(C181,P:Q,2,0))</f>
        <v/>
      </c>
      <c r="F181" s="15" t="str">
        <f>IF(ISNA(VLOOKUP(C181,P:R,3,0)),"",VLOOKUP(C181,P:R,3,0))</f>
        <v/>
      </c>
      <c r="G181">
        <f>ROUND(IF(D181&gt;0,0,ABS(D181)),2)</f>
        <v>0</v>
      </c>
      <c r="H181">
        <f>ROUND(IF(D181&gt;0,D181,),2)</f>
        <v>0</v>
      </c>
      <c r="K181" s="7"/>
      <c r="L181" s="9"/>
      <c r="M181" s="9"/>
      <c r="N181" s="7"/>
      <c r="P181" s="18"/>
      <c r="Q181" s="2"/>
      <c r="R181" s="2"/>
      <c r="AF181" s="14"/>
    </row>
    <row r="182" spans="1:32" customFormat="1" x14ac:dyDescent="0.25">
      <c r="A182" s="9"/>
      <c r="C182" s="14"/>
      <c r="E182" t="str">
        <f>IF(ISNA(VLOOKUP(C182,P:Q,2,0)),"",VLOOKUP(C182,P:Q,2,0))</f>
        <v/>
      </c>
      <c r="F182" s="15" t="str">
        <f>IF(ISNA(VLOOKUP(C182,P:R,3,0)),"",VLOOKUP(C182,P:R,3,0))</f>
        <v/>
      </c>
      <c r="G182">
        <f>ROUND(IF(D182&gt;0,0,ABS(D182)),2)</f>
        <v>0</v>
      </c>
      <c r="H182">
        <f>ROUND(IF(D182&gt;0,D182,),2)</f>
        <v>0</v>
      </c>
      <c r="K182" s="7"/>
      <c r="L182" s="9"/>
      <c r="M182" s="9"/>
      <c r="N182" s="7"/>
      <c r="P182" s="18"/>
      <c r="Q182" s="2"/>
      <c r="R182" s="2"/>
      <c r="AF182" s="14"/>
    </row>
    <row r="183" spans="1:32" customFormat="1" x14ac:dyDescent="0.25">
      <c r="A183" s="9"/>
      <c r="C183" s="14"/>
      <c r="E183" t="str">
        <f>IF(ISNA(VLOOKUP(C183,P:Q,2,0)),"",VLOOKUP(C183,P:Q,2,0))</f>
        <v/>
      </c>
      <c r="F183" s="15" t="str">
        <f>IF(ISNA(VLOOKUP(C183,P:R,3,0)),"",VLOOKUP(C183,P:R,3,0))</f>
        <v/>
      </c>
      <c r="G183">
        <f>ROUND(IF(D183&gt;0,0,ABS(D183)),2)</f>
        <v>0</v>
      </c>
      <c r="H183">
        <f>ROUND(IF(D183&gt;0,D183,),2)</f>
        <v>0</v>
      </c>
      <c r="K183" s="7"/>
      <c r="L183" s="9"/>
      <c r="M183" s="9"/>
      <c r="N183" s="7"/>
      <c r="P183" s="18"/>
      <c r="Q183" s="2"/>
      <c r="R183" s="2"/>
      <c r="AF183" s="14"/>
    </row>
    <row r="184" spans="1:32" customFormat="1" x14ac:dyDescent="0.25">
      <c r="A184" s="9"/>
      <c r="C184" s="14"/>
      <c r="E184" t="str">
        <f>IF(ISNA(VLOOKUP(C184,P:Q,2,0)),"",VLOOKUP(C184,P:Q,2,0))</f>
        <v/>
      </c>
      <c r="F184" s="15" t="str">
        <f>IF(ISNA(VLOOKUP(C184,P:R,3,0)),"",VLOOKUP(C184,P:R,3,0))</f>
        <v/>
      </c>
      <c r="G184">
        <f>ROUND(IF(D184&gt;0,0,ABS(D184)),2)</f>
        <v>0</v>
      </c>
      <c r="H184">
        <f>ROUND(IF(D184&gt;0,D184,),2)</f>
        <v>0</v>
      </c>
      <c r="K184" s="7"/>
      <c r="L184" s="9"/>
      <c r="M184" s="9"/>
      <c r="N184" s="7"/>
      <c r="P184" s="18"/>
      <c r="Q184" s="2"/>
      <c r="R184" s="2"/>
      <c r="AF184" s="14"/>
    </row>
    <row r="185" spans="1:32" customFormat="1" x14ac:dyDescent="0.25">
      <c r="A185" s="9"/>
      <c r="C185" s="14"/>
      <c r="E185" t="str">
        <f>IF(ISNA(VLOOKUP(C185,P:Q,2,0)),"",VLOOKUP(C185,P:Q,2,0))</f>
        <v/>
      </c>
      <c r="F185" s="15" t="str">
        <f>IF(ISNA(VLOOKUP(C185,P:R,3,0)),"",VLOOKUP(C185,P:R,3,0))</f>
        <v/>
      </c>
      <c r="G185">
        <f>ROUND(IF(D185&gt;0,0,ABS(D185)),2)</f>
        <v>0</v>
      </c>
      <c r="H185">
        <f>ROUND(IF(D185&gt;0,D185,),2)</f>
        <v>0</v>
      </c>
      <c r="K185" s="7"/>
      <c r="L185" s="9"/>
      <c r="M185" s="9"/>
      <c r="N185" s="7"/>
      <c r="P185" s="18"/>
      <c r="Q185" s="2"/>
      <c r="R185" s="2"/>
      <c r="AF185" s="14"/>
    </row>
    <row r="186" spans="1:32" customFormat="1" x14ac:dyDescent="0.25">
      <c r="A186" s="9"/>
      <c r="C186" s="14"/>
      <c r="E186" t="str">
        <f>IF(ISNA(VLOOKUP(C186,P:Q,2,0)),"",VLOOKUP(C186,P:Q,2,0))</f>
        <v/>
      </c>
      <c r="F186" s="15" t="str">
        <f>IF(ISNA(VLOOKUP(C186,P:R,3,0)),"",VLOOKUP(C186,P:R,3,0))</f>
        <v/>
      </c>
      <c r="G186">
        <f>ROUND(IF(D186&gt;0,0,ABS(D186)),2)</f>
        <v>0</v>
      </c>
      <c r="H186">
        <f>ROUND(IF(D186&gt;0,D186,),2)</f>
        <v>0</v>
      </c>
      <c r="K186" s="7"/>
      <c r="L186" s="9"/>
      <c r="M186" s="9"/>
      <c r="N186" s="7"/>
      <c r="P186" s="18"/>
      <c r="Q186" s="2"/>
      <c r="R186" s="2"/>
      <c r="AF186" s="14"/>
    </row>
    <row r="187" spans="1:32" customFormat="1" x14ac:dyDescent="0.25">
      <c r="A187" s="9"/>
      <c r="C187" s="14"/>
      <c r="E187" t="str">
        <f>IF(ISNA(VLOOKUP(C187,P:Q,2,0)),"",VLOOKUP(C187,P:Q,2,0))</f>
        <v/>
      </c>
      <c r="F187" s="15" t="str">
        <f>IF(ISNA(VLOOKUP(C187,P:R,3,0)),"",VLOOKUP(C187,P:R,3,0))</f>
        <v/>
      </c>
      <c r="G187">
        <f>ROUND(IF(D187&gt;0,0,ABS(D187)),2)</f>
        <v>0</v>
      </c>
      <c r="H187">
        <f>ROUND(IF(D187&gt;0,D187,),2)</f>
        <v>0</v>
      </c>
      <c r="K187" s="7"/>
      <c r="L187" s="9"/>
      <c r="M187" s="9"/>
      <c r="N187" s="7"/>
      <c r="P187" s="18"/>
      <c r="Q187" s="2"/>
      <c r="R187" s="2"/>
      <c r="AF187" s="14"/>
    </row>
    <row r="188" spans="1:32" customFormat="1" x14ac:dyDescent="0.25">
      <c r="A188" s="9"/>
      <c r="C188" s="14"/>
      <c r="E188" t="str">
        <f>IF(ISNA(VLOOKUP(C188,P:Q,2,0)),"",VLOOKUP(C188,P:Q,2,0))</f>
        <v/>
      </c>
      <c r="F188" s="15" t="str">
        <f>IF(ISNA(VLOOKUP(C188,P:R,3,0)),"",VLOOKUP(C188,P:R,3,0))</f>
        <v/>
      </c>
      <c r="G188">
        <f>ROUND(IF(D188&gt;0,0,ABS(D188)),2)</f>
        <v>0</v>
      </c>
      <c r="H188">
        <f>ROUND(IF(D188&gt;0,D188,),2)</f>
        <v>0</v>
      </c>
      <c r="K188" s="7"/>
      <c r="L188" s="9"/>
      <c r="M188" s="9"/>
      <c r="N188" s="7"/>
      <c r="P188" s="18"/>
      <c r="Q188" s="2"/>
      <c r="R188" s="2"/>
      <c r="AF188" s="14"/>
    </row>
    <row r="189" spans="1:32" customFormat="1" x14ac:dyDescent="0.25">
      <c r="A189" s="9"/>
      <c r="C189" s="14"/>
      <c r="E189" t="str">
        <f>IF(ISNA(VLOOKUP(C189,P:Q,2,0)),"",VLOOKUP(C189,P:Q,2,0))</f>
        <v/>
      </c>
      <c r="F189" s="15" t="str">
        <f>IF(ISNA(VLOOKUP(C189,P:R,3,0)),"",VLOOKUP(C189,P:R,3,0))</f>
        <v/>
      </c>
      <c r="G189">
        <f>ROUND(IF(D189&gt;0,0,ABS(D189)),2)</f>
        <v>0</v>
      </c>
      <c r="H189">
        <f>ROUND(IF(D189&gt;0,D189,),2)</f>
        <v>0</v>
      </c>
      <c r="K189" s="7"/>
      <c r="L189" s="9"/>
      <c r="M189" s="9"/>
      <c r="N189" s="7"/>
      <c r="P189" s="18"/>
      <c r="Q189" s="2"/>
      <c r="R189" s="2"/>
      <c r="AF189" s="14"/>
    </row>
    <row r="190" spans="1:32" customFormat="1" x14ac:dyDescent="0.25">
      <c r="A190" s="9"/>
      <c r="C190" s="14"/>
      <c r="E190" t="str">
        <f>IF(ISNA(VLOOKUP(C190,P:Q,2,0)),"",VLOOKUP(C190,P:Q,2,0))</f>
        <v/>
      </c>
      <c r="F190" s="15" t="str">
        <f>IF(ISNA(VLOOKUP(C190,P:R,3,0)),"",VLOOKUP(C190,P:R,3,0))</f>
        <v/>
      </c>
      <c r="G190">
        <f>ROUND(IF(D190&gt;0,0,ABS(D190)),2)</f>
        <v>0</v>
      </c>
      <c r="H190">
        <f>ROUND(IF(D190&gt;0,D190,),2)</f>
        <v>0</v>
      </c>
      <c r="K190" s="7"/>
      <c r="L190" s="9"/>
      <c r="M190" s="9"/>
      <c r="N190" s="7"/>
      <c r="P190" s="18"/>
      <c r="Q190" s="2"/>
      <c r="R190" s="2"/>
      <c r="AF190" s="14"/>
    </row>
    <row r="191" spans="1:32" customFormat="1" x14ac:dyDescent="0.25">
      <c r="A191" s="9"/>
      <c r="C191" s="14"/>
      <c r="E191" t="str">
        <f>IF(ISNA(VLOOKUP(C191,P:Q,2,0)),"",VLOOKUP(C191,P:Q,2,0))</f>
        <v/>
      </c>
      <c r="F191" s="15" t="str">
        <f>IF(ISNA(VLOOKUP(C191,P:R,3,0)),"",VLOOKUP(C191,P:R,3,0))</f>
        <v/>
      </c>
      <c r="G191">
        <f>ROUND(IF(D191&gt;0,0,ABS(D191)),2)</f>
        <v>0</v>
      </c>
      <c r="H191">
        <f>ROUND(IF(D191&gt;0,D191,),2)</f>
        <v>0</v>
      </c>
      <c r="K191" s="7"/>
      <c r="L191" s="9"/>
      <c r="M191" s="9"/>
      <c r="N191" s="7"/>
      <c r="P191" s="18"/>
      <c r="Q191" s="2"/>
      <c r="R191" s="2"/>
      <c r="AF191" s="14"/>
    </row>
    <row r="192" spans="1:32" customFormat="1" x14ac:dyDescent="0.25">
      <c r="A192" s="9"/>
      <c r="C192" s="14"/>
      <c r="E192" t="str">
        <f>IF(ISNA(VLOOKUP(C192,P:Q,2,0)),"",VLOOKUP(C192,P:Q,2,0))</f>
        <v/>
      </c>
      <c r="F192" s="15" t="str">
        <f>IF(ISNA(VLOOKUP(C192,P:R,3,0)),"",VLOOKUP(C192,P:R,3,0))</f>
        <v/>
      </c>
      <c r="G192">
        <f>ROUND(IF(D192&gt;0,0,ABS(D192)),2)</f>
        <v>0</v>
      </c>
      <c r="H192">
        <f>ROUND(IF(D192&gt;0,D192,),2)</f>
        <v>0</v>
      </c>
      <c r="K192" s="7"/>
      <c r="L192" s="9"/>
      <c r="M192" s="9"/>
      <c r="N192" s="7"/>
      <c r="P192" s="18"/>
      <c r="Q192" s="2"/>
      <c r="R192" s="2"/>
      <c r="AF192" s="14"/>
    </row>
    <row r="193" spans="1:32" customFormat="1" x14ac:dyDescent="0.25">
      <c r="A193" s="9"/>
      <c r="C193" s="14"/>
      <c r="E193" t="str">
        <f>IF(ISNA(VLOOKUP(C193,P:Q,2,0)),"",VLOOKUP(C193,P:Q,2,0))</f>
        <v/>
      </c>
      <c r="F193" s="15" t="str">
        <f>IF(ISNA(VLOOKUP(C193,P:R,3,0)),"",VLOOKUP(C193,P:R,3,0))</f>
        <v/>
      </c>
      <c r="G193">
        <f>ROUND(IF(D193&gt;0,0,ABS(D193)),2)</f>
        <v>0</v>
      </c>
      <c r="H193">
        <f>ROUND(IF(D193&gt;0,D193,),2)</f>
        <v>0</v>
      </c>
      <c r="K193" s="7"/>
      <c r="L193" s="9"/>
      <c r="M193" s="9"/>
      <c r="N193" s="7"/>
      <c r="P193" s="18"/>
      <c r="Q193" s="2"/>
      <c r="R193" s="2"/>
      <c r="AF193" s="14"/>
    </row>
    <row r="194" spans="1:32" customFormat="1" x14ac:dyDescent="0.25">
      <c r="A194" s="9"/>
      <c r="C194" s="14"/>
      <c r="E194" t="str">
        <f>IF(ISNA(VLOOKUP(C194,P:Q,2,0)),"",VLOOKUP(C194,P:Q,2,0))</f>
        <v/>
      </c>
      <c r="F194" s="15" t="str">
        <f>IF(ISNA(VLOOKUP(C194,P:R,3,0)),"",VLOOKUP(C194,P:R,3,0))</f>
        <v/>
      </c>
      <c r="G194">
        <f>ROUND(IF(D194&gt;0,0,ABS(D194)),2)</f>
        <v>0</v>
      </c>
      <c r="H194">
        <f>ROUND(IF(D194&gt;0,D194,),2)</f>
        <v>0</v>
      </c>
      <c r="K194" s="7"/>
      <c r="L194" s="9"/>
      <c r="M194" s="9"/>
      <c r="N194" s="7"/>
      <c r="P194" s="18"/>
      <c r="Q194" s="2"/>
      <c r="R194" s="2"/>
      <c r="AF194" s="14"/>
    </row>
    <row r="195" spans="1:32" customFormat="1" x14ac:dyDescent="0.25">
      <c r="A195" s="9"/>
      <c r="C195" s="14"/>
      <c r="E195" t="str">
        <f>IF(ISNA(VLOOKUP(C195,P:Q,2,0)),"",VLOOKUP(C195,P:Q,2,0))</f>
        <v/>
      </c>
      <c r="F195" s="15" t="str">
        <f>IF(ISNA(VLOOKUP(C195,P:R,3,0)),"",VLOOKUP(C195,P:R,3,0))</f>
        <v/>
      </c>
      <c r="G195">
        <f>ROUND(IF(D195&gt;0,0,ABS(D195)),2)</f>
        <v>0</v>
      </c>
      <c r="H195">
        <f>ROUND(IF(D195&gt;0,D195,),2)</f>
        <v>0</v>
      </c>
      <c r="K195" s="7"/>
      <c r="L195" s="9"/>
      <c r="M195" s="9"/>
      <c r="N195" s="7"/>
      <c r="P195" s="18"/>
      <c r="Q195" s="2"/>
      <c r="R195" s="2"/>
      <c r="AF195" s="14"/>
    </row>
    <row r="196" spans="1:32" customFormat="1" x14ac:dyDescent="0.25">
      <c r="A196" s="9"/>
      <c r="C196" s="14"/>
      <c r="E196" t="str">
        <f>IF(ISNA(VLOOKUP(C196,P:Q,2,0)),"",VLOOKUP(C196,P:Q,2,0))</f>
        <v/>
      </c>
      <c r="F196" s="15" t="str">
        <f>IF(ISNA(VLOOKUP(C196,P:R,3,0)),"",VLOOKUP(C196,P:R,3,0))</f>
        <v/>
      </c>
      <c r="G196">
        <f>ROUND(IF(D196&gt;0,0,ABS(D196)),2)</f>
        <v>0</v>
      </c>
      <c r="H196">
        <f>ROUND(IF(D196&gt;0,D196,),2)</f>
        <v>0</v>
      </c>
      <c r="K196" s="7"/>
      <c r="L196" s="9"/>
      <c r="M196" s="9"/>
      <c r="N196" s="7"/>
      <c r="P196" s="18"/>
      <c r="Q196" s="2"/>
      <c r="R196" s="2"/>
      <c r="AF196" s="14"/>
    </row>
    <row r="197" spans="1:32" customFormat="1" x14ac:dyDescent="0.25">
      <c r="A197" s="9"/>
      <c r="C197" s="14"/>
      <c r="E197" t="str">
        <f>IF(ISNA(VLOOKUP(C197,P:Q,2,0)),"",VLOOKUP(C197,P:Q,2,0))</f>
        <v/>
      </c>
      <c r="F197" s="15" t="str">
        <f>IF(ISNA(VLOOKUP(C197,P:R,3,0)),"",VLOOKUP(C197,P:R,3,0))</f>
        <v/>
      </c>
      <c r="G197">
        <f>ROUND(IF(D197&gt;0,0,ABS(D197)),2)</f>
        <v>0</v>
      </c>
      <c r="H197">
        <f>ROUND(IF(D197&gt;0,D197,),2)</f>
        <v>0</v>
      </c>
      <c r="K197" s="7"/>
      <c r="L197" s="9"/>
      <c r="M197" s="9"/>
      <c r="N197" s="7"/>
      <c r="P197" s="18"/>
      <c r="Q197" s="2"/>
      <c r="R197" s="2"/>
      <c r="AF197" s="14"/>
    </row>
    <row r="198" spans="1:32" customFormat="1" x14ac:dyDescent="0.25">
      <c r="A198" s="9"/>
      <c r="C198" s="14"/>
      <c r="E198" t="str">
        <f>IF(ISNA(VLOOKUP(C198,P:Q,2,0)),"",VLOOKUP(C198,P:Q,2,0))</f>
        <v/>
      </c>
      <c r="F198" s="15" t="str">
        <f>IF(ISNA(VLOOKUP(C198,P:R,3,0)),"",VLOOKUP(C198,P:R,3,0))</f>
        <v/>
      </c>
      <c r="G198">
        <f>ROUND(IF(D198&gt;0,0,ABS(D198)),2)</f>
        <v>0</v>
      </c>
      <c r="H198">
        <f>ROUND(IF(D198&gt;0,D198,),2)</f>
        <v>0</v>
      </c>
      <c r="K198" s="7"/>
      <c r="L198" s="9"/>
      <c r="M198" s="9"/>
      <c r="N198" s="7"/>
      <c r="P198" s="18"/>
      <c r="Q198" s="2"/>
      <c r="R198" s="2"/>
      <c r="AF198" s="14"/>
    </row>
    <row r="199" spans="1:32" customFormat="1" x14ac:dyDescent="0.25">
      <c r="A199" s="9"/>
      <c r="C199" s="14"/>
      <c r="E199" t="str">
        <f>IF(ISNA(VLOOKUP(C199,P:Q,2,0)),"",VLOOKUP(C199,P:Q,2,0))</f>
        <v/>
      </c>
      <c r="F199" s="15" t="str">
        <f>IF(ISNA(VLOOKUP(C199,P:R,3,0)),"",VLOOKUP(C199,P:R,3,0))</f>
        <v/>
      </c>
      <c r="G199">
        <f>ROUND(IF(D199&gt;0,0,ABS(D199)),2)</f>
        <v>0</v>
      </c>
      <c r="H199">
        <f>ROUND(IF(D199&gt;0,D199,),2)</f>
        <v>0</v>
      </c>
      <c r="K199" s="7"/>
      <c r="L199" s="9"/>
      <c r="M199" s="9"/>
      <c r="N199" s="7"/>
      <c r="P199" s="18"/>
      <c r="Q199" s="2"/>
      <c r="R199" s="2"/>
      <c r="AF199" s="14"/>
    </row>
    <row r="200" spans="1:32" customFormat="1" x14ac:dyDescent="0.25">
      <c r="A200" s="9"/>
      <c r="C200" s="14"/>
      <c r="E200" t="str">
        <f>IF(ISNA(VLOOKUP(C200,P:Q,2,0)),"",VLOOKUP(C200,P:Q,2,0))</f>
        <v/>
      </c>
      <c r="F200" s="15" t="str">
        <f>IF(ISNA(VLOOKUP(C200,P:R,3,0)),"",VLOOKUP(C200,P:R,3,0))</f>
        <v/>
      </c>
      <c r="G200">
        <f>ROUND(IF(D200&gt;0,0,ABS(D200)),2)</f>
        <v>0</v>
      </c>
      <c r="H200">
        <f>ROUND(IF(D200&gt;0,D200,),2)</f>
        <v>0</v>
      </c>
      <c r="K200" s="7"/>
      <c r="L200" s="9"/>
      <c r="M200" s="9"/>
      <c r="N200" s="7"/>
      <c r="P200" s="18"/>
      <c r="Q200" s="2"/>
      <c r="R200" s="2"/>
      <c r="AF200" s="14"/>
    </row>
    <row r="201" spans="1:32" customFormat="1" x14ac:dyDescent="0.25">
      <c r="A201" s="9"/>
      <c r="C201" s="14"/>
      <c r="E201" t="str">
        <f>IF(ISNA(VLOOKUP(C201,P:Q,2,0)),"",VLOOKUP(C201,P:Q,2,0))</f>
        <v/>
      </c>
      <c r="F201" s="15" t="str">
        <f>IF(ISNA(VLOOKUP(C201,P:R,3,0)),"",VLOOKUP(C201,P:R,3,0))</f>
        <v/>
      </c>
      <c r="G201">
        <f>ROUND(IF(D201&gt;0,0,ABS(D201)),2)</f>
        <v>0</v>
      </c>
      <c r="H201">
        <f>ROUND(IF(D201&gt;0,D201,),2)</f>
        <v>0</v>
      </c>
      <c r="K201" s="7"/>
      <c r="L201" s="9"/>
      <c r="M201" s="9"/>
      <c r="N201" s="7"/>
      <c r="P201" s="18"/>
      <c r="Q201" s="2"/>
      <c r="R201" s="2"/>
      <c r="AF201" s="14"/>
    </row>
    <row r="202" spans="1:32" customFormat="1" x14ac:dyDescent="0.25">
      <c r="A202" s="9"/>
      <c r="C202" s="14"/>
      <c r="E202" t="str">
        <f>IF(ISNA(VLOOKUP(C202,P:Q,2,0)),"",VLOOKUP(C202,P:Q,2,0))</f>
        <v/>
      </c>
      <c r="F202" s="15" t="str">
        <f>IF(ISNA(VLOOKUP(C202,P:R,3,0)),"",VLOOKUP(C202,P:R,3,0))</f>
        <v/>
      </c>
      <c r="G202">
        <f>ROUND(IF(D202&gt;0,0,ABS(D202)),2)</f>
        <v>0</v>
      </c>
      <c r="H202">
        <f>ROUND(IF(D202&gt;0,D202,),2)</f>
        <v>0</v>
      </c>
      <c r="K202" s="7"/>
      <c r="L202" s="9"/>
      <c r="M202" s="9"/>
      <c r="N202" s="7"/>
      <c r="P202" s="18"/>
      <c r="Q202" s="2"/>
      <c r="R202" s="2"/>
      <c r="AF202" s="14"/>
    </row>
    <row r="203" spans="1:32" customFormat="1" x14ac:dyDescent="0.25">
      <c r="A203" s="9"/>
      <c r="C203" s="14"/>
      <c r="E203" t="str">
        <f>IF(ISNA(VLOOKUP(C203,P:Q,2,0)),"",VLOOKUP(C203,P:Q,2,0))</f>
        <v/>
      </c>
      <c r="F203" s="15" t="str">
        <f>IF(ISNA(VLOOKUP(C203,P:R,3,0)),"",VLOOKUP(C203,P:R,3,0))</f>
        <v/>
      </c>
      <c r="G203">
        <f>ROUND(IF(D203&gt;0,0,ABS(D203)),2)</f>
        <v>0</v>
      </c>
      <c r="H203">
        <f>ROUND(IF(D203&gt;0,D203,),2)</f>
        <v>0</v>
      </c>
      <c r="K203" s="7"/>
      <c r="L203" s="9"/>
      <c r="M203" s="9"/>
      <c r="N203" s="7"/>
      <c r="P203" s="18"/>
      <c r="Q203" s="2"/>
      <c r="R203" s="2"/>
      <c r="AF203" s="14"/>
    </row>
    <row r="204" spans="1:32" customFormat="1" x14ac:dyDescent="0.25">
      <c r="A204" s="9"/>
      <c r="C204" s="14"/>
      <c r="E204" t="str">
        <f>IF(ISNA(VLOOKUP(C204,P:Q,2,0)),"",VLOOKUP(C204,P:Q,2,0))</f>
        <v/>
      </c>
      <c r="F204" s="15" t="str">
        <f>IF(ISNA(VLOOKUP(C204,P:R,3,0)),"",VLOOKUP(C204,P:R,3,0))</f>
        <v/>
      </c>
      <c r="G204">
        <f>ROUND(IF(D204&gt;0,0,ABS(D204)),2)</f>
        <v>0</v>
      </c>
      <c r="H204">
        <f>ROUND(IF(D204&gt;0,D204,),2)</f>
        <v>0</v>
      </c>
      <c r="K204" s="7"/>
      <c r="L204" s="9"/>
      <c r="M204" s="9"/>
      <c r="N204" s="7"/>
      <c r="P204" s="18"/>
      <c r="Q204" s="2"/>
      <c r="R204" s="2"/>
      <c r="AF204" s="14"/>
    </row>
    <row r="205" spans="1:32" customFormat="1" x14ac:dyDescent="0.25">
      <c r="A205" s="9"/>
      <c r="C205" s="14"/>
      <c r="E205" t="str">
        <f>IF(ISNA(VLOOKUP(C205,P:Q,2,0)),"",VLOOKUP(C205,P:Q,2,0))</f>
        <v/>
      </c>
      <c r="F205" s="15" t="str">
        <f>IF(ISNA(VLOOKUP(C205,P:R,3,0)),"",VLOOKUP(C205,P:R,3,0))</f>
        <v/>
      </c>
      <c r="G205">
        <f>ROUND(IF(D205&gt;0,0,ABS(D205)),2)</f>
        <v>0</v>
      </c>
      <c r="H205">
        <f>ROUND(IF(D205&gt;0,D205,),2)</f>
        <v>0</v>
      </c>
      <c r="K205" s="7"/>
      <c r="L205" s="9"/>
      <c r="M205" s="9"/>
      <c r="N205" s="7"/>
      <c r="P205" s="18"/>
      <c r="Q205" s="2"/>
      <c r="R205" s="2"/>
      <c r="AF205" s="14"/>
    </row>
    <row r="206" spans="1:32" customFormat="1" x14ac:dyDescent="0.25">
      <c r="A206" s="9"/>
      <c r="C206" s="14"/>
      <c r="E206" t="str">
        <f>IF(ISNA(VLOOKUP(C206,P:Q,2,0)),"",VLOOKUP(C206,P:Q,2,0))</f>
        <v/>
      </c>
      <c r="F206" s="15" t="str">
        <f>IF(ISNA(VLOOKUP(C206,P:R,3,0)),"",VLOOKUP(C206,P:R,3,0))</f>
        <v/>
      </c>
      <c r="G206">
        <f>ROUND(IF(D206&gt;0,0,ABS(D206)),2)</f>
        <v>0</v>
      </c>
      <c r="H206">
        <f>ROUND(IF(D206&gt;0,D206,),2)</f>
        <v>0</v>
      </c>
      <c r="K206" s="7"/>
      <c r="L206" s="9"/>
      <c r="M206" s="9"/>
      <c r="N206" s="7"/>
      <c r="P206" s="18"/>
      <c r="Q206" s="2"/>
      <c r="R206" s="2"/>
      <c r="AF206" s="14"/>
    </row>
    <row r="207" spans="1:32" customFormat="1" x14ac:dyDescent="0.25">
      <c r="A207" s="9"/>
      <c r="C207" s="14"/>
      <c r="E207" t="str">
        <f>IF(ISNA(VLOOKUP(C207,P:Q,2,0)),"",VLOOKUP(C207,P:Q,2,0))</f>
        <v/>
      </c>
      <c r="F207" s="15" t="str">
        <f>IF(ISNA(VLOOKUP(C207,P:R,3,0)),"",VLOOKUP(C207,P:R,3,0))</f>
        <v/>
      </c>
      <c r="G207">
        <f>ROUND(IF(D207&gt;0,0,ABS(D207)),2)</f>
        <v>0</v>
      </c>
      <c r="H207">
        <f>ROUND(IF(D207&gt;0,D207,),2)</f>
        <v>0</v>
      </c>
      <c r="K207" s="7"/>
      <c r="L207" s="9"/>
      <c r="M207" s="9"/>
      <c r="N207" s="7"/>
      <c r="P207" s="18"/>
      <c r="Q207" s="2"/>
      <c r="R207" s="2"/>
      <c r="AF207" s="14"/>
    </row>
    <row r="208" spans="1:32" customFormat="1" x14ac:dyDescent="0.25">
      <c r="A208" s="9"/>
      <c r="C208" s="14"/>
      <c r="E208" t="str">
        <f>IF(ISNA(VLOOKUP(C208,P:Q,2,0)),"",VLOOKUP(C208,P:Q,2,0))</f>
        <v/>
      </c>
      <c r="F208" s="15" t="str">
        <f>IF(ISNA(VLOOKUP(C208,P:R,3,0)),"",VLOOKUP(C208,P:R,3,0))</f>
        <v/>
      </c>
      <c r="G208">
        <f>ROUND(IF(D208&gt;0,0,ABS(D208)),2)</f>
        <v>0</v>
      </c>
      <c r="H208">
        <f>ROUND(IF(D208&gt;0,D208,),2)</f>
        <v>0</v>
      </c>
      <c r="K208" s="7"/>
      <c r="L208" s="9"/>
      <c r="M208" s="9"/>
      <c r="N208" s="7"/>
      <c r="P208" s="18"/>
      <c r="Q208" s="2"/>
      <c r="R208" s="2"/>
      <c r="AF208" s="14"/>
    </row>
    <row r="209" spans="1:32" customFormat="1" x14ac:dyDescent="0.25">
      <c r="A209" s="9"/>
      <c r="C209" s="14"/>
      <c r="E209" t="str">
        <f>IF(ISNA(VLOOKUP(C209,P:Q,2,0)),"",VLOOKUP(C209,P:Q,2,0))</f>
        <v/>
      </c>
      <c r="F209" s="15" t="str">
        <f>IF(ISNA(VLOOKUP(C209,P:R,3,0)),"",VLOOKUP(C209,P:R,3,0))</f>
        <v/>
      </c>
      <c r="G209">
        <f>ROUND(IF(D209&gt;0,0,ABS(D209)),2)</f>
        <v>0</v>
      </c>
      <c r="H209">
        <f>ROUND(IF(D209&gt;0,D209,),2)</f>
        <v>0</v>
      </c>
      <c r="K209" s="7"/>
      <c r="L209" s="9"/>
      <c r="M209" s="9"/>
      <c r="N209" s="7"/>
      <c r="P209" s="18"/>
      <c r="Q209" s="2"/>
      <c r="R209" s="2"/>
      <c r="AF209" s="14"/>
    </row>
    <row r="210" spans="1:32" customFormat="1" x14ac:dyDescent="0.25">
      <c r="A210" s="9"/>
      <c r="C210" s="14"/>
      <c r="E210" t="str">
        <f>IF(ISNA(VLOOKUP(C210,P:Q,2,0)),"",VLOOKUP(C210,P:Q,2,0))</f>
        <v/>
      </c>
      <c r="F210" s="15" t="str">
        <f>IF(ISNA(VLOOKUP(C210,P:R,3,0)),"",VLOOKUP(C210,P:R,3,0))</f>
        <v/>
      </c>
      <c r="G210">
        <f>ROUND(IF(D210&gt;0,0,ABS(D210)),2)</f>
        <v>0</v>
      </c>
      <c r="H210">
        <f>ROUND(IF(D210&gt;0,D210,),2)</f>
        <v>0</v>
      </c>
      <c r="K210" s="7"/>
      <c r="L210" s="9"/>
      <c r="M210" s="9"/>
      <c r="N210" s="7"/>
      <c r="P210" s="18"/>
      <c r="Q210" s="2"/>
      <c r="R210" s="2"/>
      <c r="AF210" s="14"/>
    </row>
    <row r="211" spans="1:32" customFormat="1" x14ac:dyDescent="0.25">
      <c r="A211" s="9"/>
      <c r="C211" s="14"/>
      <c r="E211" t="str">
        <f>IF(ISNA(VLOOKUP(C211,P:Q,2,0)),"",VLOOKUP(C211,P:Q,2,0))</f>
        <v/>
      </c>
      <c r="F211" s="15" t="str">
        <f>IF(ISNA(VLOOKUP(C211,P:R,3,0)),"",VLOOKUP(C211,P:R,3,0))</f>
        <v/>
      </c>
      <c r="G211">
        <f>ROUND(IF(D211&gt;0,0,ABS(D211)),2)</f>
        <v>0</v>
      </c>
      <c r="H211">
        <f>ROUND(IF(D211&gt;0,D211,),2)</f>
        <v>0</v>
      </c>
      <c r="K211" s="7"/>
      <c r="L211" s="9"/>
      <c r="M211" s="9"/>
      <c r="N211" s="7"/>
      <c r="P211" s="18"/>
      <c r="Q211" s="2"/>
      <c r="R211" s="2"/>
      <c r="AF211" s="14"/>
    </row>
    <row r="212" spans="1:32" customFormat="1" x14ac:dyDescent="0.25">
      <c r="A212" s="9"/>
      <c r="C212" s="14"/>
      <c r="E212" t="str">
        <f>IF(ISNA(VLOOKUP(C212,P:Q,2,0)),"",VLOOKUP(C212,P:Q,2,0))</f>
        <v/>
      </c>
      <c r="F212" s="15" t="str">
        <f>IF(ISNA(VLOOKUP(C212,P:R,3,0)),"",VLOOKUP(C212,P:R,3,0))</f>
        <v/>
      </c>
      <c r="G212">
        <f>ROUND(IF(D212&gt;0,0,ABS(D212)),2)</f>
        <v>0</v>
      </c>
      <c r="H212">
        <f>ROUND(IF(D212&gt;0,D212,),2)</f>
        <v>0</v>
      </c>
      <c r="K212" s="7"/>
      <c r="L212" s="9"/>
      <c r="M212" s="9"/>
      <c r="N212" s="7"/>
      <c r="P212" s="18"/>
      <c r="Q212" s="2"/>
      <c r="R212" s="2"/>
      <c r="AF212" s="14"/>
    </row>
    <row r="213" spans="1:32" customFormat="1" x14ac:dyDescent="0.25">
      <c r="A213" s="9"/>
      <c r="C213" s="14"/>
      <c r="E213" t="str">
        <f>IF(ISNA(VLOOKUP(C213,P:Q,2,0)),"",VLOOKUP(C213,P:Q,2,0))</f>
        <v/>
      </c>
      <c r="F213" s="15" t="str">
        <f>IF(ISNA(VLOOKUP(C213,P:R,3,0)),"",VLOOKUP(C213,P:R,3,0))</f>
        <v/>
      </c>
      <c r="G213">
        <f>ROUND(IF(D213&gt;0,0,ABS(D213)),2)</f>
        <v>0</v>
      </c>
      <c r="H213">
        <f>ROUND(IF(D213&gt;0,D213,),2)</f>
        <v>0</v>
      </c>
      <c r="K213" s="7"/>
      <c r="L213" s="9"/>
      <c r="M213" s="9"/>
      <c r="N213" s="7"/>
      <c r="P213" s="18"/>
      <c r="Q213" s="2"/>
      <c r="R213" s="2"/>
      <c r="AF213" s="14"/>
    </row>
    <row r="214" spans="1:32" customFormat="1" x14ac:dyDescent="0.25">
      <c r="A214" s="9"/>
      <c r="C214" s="14"/>
      <c r="E214" t="str">
        <f>IF(ISNA(VLOOKUP(C214,P:Q,2,0)),"",VLOOKUP(C214,P:Q,2,0))</f>
        <v/>
      </c>
      <c r="F214" s="15" t="str">
        <f>IF(ISNA(VLOOKUP(C214,P:R,3,0)),"",VLOOKUP(C214,P:R,3,0))</f>
        <v/>
      </c>
      <c r="G214">
        <f>ROUND(IF(D214&gt;0,0,ABS(D214)),2)</f>
        <v>0</v>
      </c>
      <c r="H214">
        <f>ROUND(IF(D214&gt;0,D214,),2)</f>
        <v>0</v>
      </c>
      <c r="K214" s="7"/>
      <c r="L214" s="9"/>
      <c r="M214" s="9"/>
      <c r="N214" s="7"/>
      <c r="P214" s="18"/>
      <c r="Q214" s="2"/>
      <c r="R214" s="2"/>
      <c r="AF214" s="14"/>
    </row>
    <row r="215" spans="1:32" customFormat="1" x14ac:dyDescent="0.25">
      <c r="A215" s="9"/>
      <c r="C215" s="14"/>
      <c r="E215" t="str">
        <f>IF(ISNA(VLOOKUP(C215,P:Q,2,0)),"",VLOOKUP(C215,P:Q,2,0))</f>
        <v/>
      </c>
      <c r="F215" s="15" t="str">
        <f>IF(ISNA(VLOOKUP(C215,P:R,3,0)),"",VLOOKUP(C215,P:R,3,0))</f>
        <v/>
      </c>
      <c r="G215">
        <f>ROUND(IF(D215&gt;0,0,ABS(D215)),2)</f>
        <v>0</v>
      </c>
      <c r="H215">
        <f>ROUND(IF(D215&gt;0,D215,),2)</f>
        <v>0</v>
      </c>
      <c r="K215" s="7"/>
      <c r="L215" s="9"/>
      <c r="M215" s="9"/>
      <c r="N215" s="7"/>
      <c r="P215" s="18"/>
      <c r="Q215" s="2"/>
      <c r="R215" s="2"/>
      <c r="AF215" s="14"/>
    </row>
    <row r="216" spans="1:32" customFormat="1" x14ac:dyDescent="0.25">
      <c r="A216" s="9"/>
      <c r="C216" s="14"/>
      <c r="E216" t="str">
        <f>IF(ISNA(VLOOKUP(C216,P:Q,2,0)),"",VLOOKUP(C216,P:Q,2,0))</f>
        <v/>
      </c>
      <c r="F216" s="15" t="str">
        <f>IF(ISNA(VLOOKUP(C216,P:R,3,0)),"",VLOOKUP(C216,P:R,3,0))</f>
        <v/>
      </c>
      <c r="G216">
        <f>ROUND(IF(D216&gt;0,0,ABS(D216)),2)</f>
        <v>0</v>
      </c>
      <c r="H216">
        <f>ROUND(IF(D216&gt;0,D216,),2)</f>
        <v>0</v>
      </c>
      <c r="K216" s="7"/>
      <c r="L216" s="9"/>
      <c r="M216" s="9"/>
      <c r="N216" s="7"/>
      <c r="P216" s="18"/>
      <c r="Q216" s="2"/>
      <c r="R216" s="2"/>
      <c r="AF216" s="14"/>
    </row>
    <row r="217" spans="1:32" customFormat="1" x14ac:dyDescent="0.25">
      <c r="A217" s="9"/>
      <c r="C217" s="14"/>
      <c r="E217" t="str">
        <f>IF(ISNA(VLOOKUP(C217,P:Q,2,0)),"",VLOOKUP(C217,P:Q,2,0))</f>
        <v/>
      </c>
      <c r="F217" s="15" t="str">
        <f>IF(ISNA(VLOOKUP(C217,P:R,3,0)),"",VLOOKUP(C217,P:R,3,0))</f>
        <v/>
      </c>
      <c r="G217">
        <f>ROUND(IF(D217&gt;0,0,ABS(D217)),2)</f>
        <v>0</v>
      </c>
      <c r="H217">
        <f>ROUND(IF(D217&gt;0,D217,),2)</f>
        <v>0</v>
      </c>
      <c r="K217" s="7"/>
      <c r="L217" s="9"/>
      <c r="M217" s="9"/>
      <c r="N217" s="7"/>
      <c r="P217" s="18"/>
      <c r="Q217" s="2"/>
      <c r="R217" s="2"/>
      <c r="AF217" s="14"/>
    </row>
    <row r="218" spans="1:32" customFormat="1" x14ac:dyDescent="0.25">
      <c r="A218" s="9"/>
      <c r="C218" s="14"/>
      <c r="E218" t="str">
        <f>IF(ISNA(VLOOKUP(C218,P:Q,2,0)),"",VLOOKUP(C218,P:Q,2,0))</f>
        <v/>
      </c>
      <c r="F218" s="15" t="str">
        <f>IF(ISNA(VLOOKUP(C218,P:R,3,0)),"",VLOOKUP(C218,P:R,3,0))</f>
        <v/>
      </c>
      <c r="G218">
        <f>ROUND(IF(D218&gt;0,0,ABS(D218)),2)</f>
        <v>0</v>
      </c>
      <c r="H218">
        <f>ROUND(IF(D218&gt;0,D218,),2)</f>
        <v>0</v>
      </c>
      <c r="K218" s="7"/>
      <c r="L218" s="9"/>
      <c r="M218" s="9"/>
      <c r="N218" s="7"/>
      <c r="P218" s="18"/>
      <c r="Q218" s="2"/>
      <c r="R218" s="2"/>
      <c r="AF218" s="14"/>
    </row>
    <row r="219" spans="1:32" customFormat="1" x14ac:dyDescent="0.25">
      <c r="A219" s="9"/>
      <c r="C219" s="14"/>
      <c r="E219" t="str">
        <f>IF(ISNA(VLOOKUP(C219,P:Q,2,0)),"",VLOOKUP(C219,P:Q,2,0))</f>
        <v/>
      </c>
      <c r="F219" s="15" t="str">
        <f>IF(ISNA(VLOOKUP(C219,P:R,3,0)),"",VLOOKUP(C219,P:R,3,0))</f>
        <v/>
      </c>
      <c r="G219">
        <f>ROUND(IF(D219&gt;0,0,ABS(D219)),2)</f>
        <v>0</v>
      </c>
      <c r="H219">
        <f>ROUND(IF(D219&gt;0,D219,),2)</f>
        <v>0</v>
      </c>
      <c r="K219" s="7"/>
      <c r="L219" s="9"/>
      <c r="M219" s="9"/>
      <c r="N219" s="7"/>
      <c r="P219" s="18"/>
      <c r="Q219" s="2"/>
      <c r="R219" s="2"/>
      <c r="AF219" s="14"/>
    </row>
    <row r="220" spans="1:32" customFormat="1" x14ac:dyDescent="0.25">
      <c r="A220" s="9"/>
      <c r="C220" s="14"/>
      <c r="E220" t="str">
        <f>IF(ISNA(VLOOKUP(C220,P:Q,2,0)),"",VLOOKUP(C220,P:Q,2,0))</f>
        <v/>
      </c>
      <c r="F220" s="15" t="str">
        <f>IF(ISNA(VLOOKUP(C220,P:R,3,0)),"",VLOOKUP(C220,P:R,3,0))</f>
        <v/>
      </c>
      <c r="G220">
        <f>ROUND(IF(D220&gt;0,0,ABS(D220)),2)</f>
        <v>0</v>
      </c>
      <c r="H220">
        <f>ROUND(IF(D220&gt;0,D220,),2)</f>
        <v>0</v>
      </c>
      <c r="K220" s="7"/>
      <c r="L220" s="9"/>
      <c r="M220" s="9"/>
      <c r="N220" s="7"/>
      <c r="P220" s="18"/>
      <c r="Q220" s="2"/>
      <c r="R220" s="2"/>
      <c r="AF220" s="14"/>
    </row>
    <row r="221" spans="1:32" customFormat="1" x14ac:dyDescent="0.25">
      <c r="A221" s="9"/>
      <c r="C221" s="14"/>
      <c r="E221" t="str">
        <f>IF(ISNA(VLOOKUP(C221,P:Q,2,0)),"",VLOOKUP(C221,P:Q,2,0))</f>
        <v/>
      </c>
      <c r="F221" s="15" t="str">
        <f>IF(ISNA(VLOOKUP(C221,P:R,3,0)),"",VLOOKUP(C221,P:R,3,0))</f>
        <v/>
      </c>
      <c r="G221">
        <f>ROUND(IF(D221&gt;0,0,ABS(D221)),2)</f>
        <v>0</v>
      </c>
      <c r="H221">
        <f>ROUND(IF(D221&gt;0,D221,),2)</f>
        <v>0</v>
      </c>
      <c r="K221" s="7"/>
      <c r="L221" s="9"/>
      <c r="M221" s="9"/>
      <c r="N221" s="7"/>
      <c r="P221" s="18"/>
      <c r="Q221" s="2"/>
      <c r="R221" s="2"/>
      <c r="AF221" s="14"/>
    </row>
    <row r="222" spans="1:32" customFormat="1" x14ac:dyDescent="0.25">
      <c r="A222" s="9"/>
      <c r="C222" s="14"/>
      <c r="E222" t="str">
        <f>IF(ISNA(VLOOKUP(C222,P:Q,2,0)),"",VLOOKUP(C222,P:Q,2,0))</f>
        <v/>
      </c>
      <c r="F222" s="15" t="str">
        <f>IF(ISNA(VLOOKUP(C222,P:R,3,0)),"",VLOOKUP(C222,P:R,3,0))</f>
        <v/>
      </c>
      <c r="G222">
        <f>ROUND(IF(D222&gt;0,0,ABS(D222)),2)</f>
        <v>0</v>
      </c>
      <c r="H222">
        <f>ROUND(IF(D222&gt;0,D222,),2)</f>
        <v>0</v>
      </c>
      <c r="K222" s="7"/>
      <c r="L222" s="9"/>
      <c r="M222" s="9"/>
      <c r="N222" s="7"/>
      <c r="P222" s="18"/>
      <c r="Q222" s="2"/>
      <c r="R222" s="2"/>
      <c r="AF222" s="14"/>
    </row>
    <row r="223" spans="1:32" customFormat="1" x14ac:dyDescent="0.25">
      <c r="A223" s="9"/>
      <c r="C223" s="14"/>
      <c r="E223" t="str">
        <f>IF(ISNA(VLOOKUP(C223,P:Q,2,0)),"",VLOOKUP(C223,P:Q,2,0))</f>
        <v/>
      </c>
      <c r="F223" s="15" t="str">
        <f>IF(ISNA(VLOOKUP(C223,P:R,3,0)),"",VLOOKUP(C223,P:R,3,0))</f>
        <v/>
      </c>
      <c r="G223">
        <f>ROUND(IF(D223&gt;0,0,ABS(D223)),2)</f>
        <v>0</v>
      </c>
      <c r="H223">
        <f>ROUND(IF(D223&gt;0,D223,),2)</f>
        <v>0</v>
      </c>
      <c r="K223" s="7"/>
      <c r="L223" s="9"/>
      <c r="M223" s="9"/>
      <c r="N223" s="7"/>
      <c r="P223" s="18"/>
      <c r="Q223" s="2"/>
      <c r="R223" s="2"/>
      <c r="AF223" s="14"/>
    </row>
    <row r="224" spans="1:32" customFormat="1" x14ac:dyDescent="0.25">
      <c r="A224" s="9"/>
      <c r="C224" s="14"/>
      <c r="E224" t="str">
        <f>IF(ISNA(VLOOKUP(C224,P:Q,2,0)),"",VLOOKUP(C224,P:Q,2,0))</f>
        <v/>
      </c>
      <c r="F224" s="15" t="str">
        <f>IF(ISNA(VLOOKUP(C224,P:R,3,0)),"",VLOOKUP(C224,P:R,3,0))</f>
        <v/>
      </c>
      <c r="G224">
        <f>ROUND(IF(D224&gt;0,0,ABS(D224)),2)</f>
        <v>0</v>
      </c>
      <c r="H224">
        <f>ROUND(IF(D224&gt;0,D224,),2)</f>
        <v>0</v>
      </c>
      <c r="K224" s="7"/>
      <c r="L224" s="9"/>
      <c r="M224" s="9"/>
      <c r="N224" s="7"/>
      <c r="P224" s="18"/>
      <c r="Q224" s="2"/>
      <c r="R224" s="2"/>
      <c r="AF224" s="14"/>
    </row>
    <row r="225" spans="1:32" customFormat="1" x14ac:dyDescent="0.25">
      <c r="A225" s="9"/>
      <c r="C225" s="14"/>
      <c r="E225" t="str">
        <f>IF(ISNA(VLOOKUP(C225,P:Q,2,0)),"",VLOOKUP(C225,P:Q,2,0))</f>
        <v/>
      </c>
      <c r="F225" s="15" t="str">
        <f>IF(ISNA(VLOOKUP(C225,P:R,3,0)),"",VLOOKUP(C225,P:R,3,0))</f>
        <v/>
      </c>
      <c r="G225">
        <f>ROUND(IF(D225&gt;0,0,ABS(D225)),2)</f>
        <v>0</v>
      </c>
      <c r="H225">
        <f>ROUND(IF(D225&gt;0,D225,),2)</f>
        <v>0</v>
      </c>
      <c r="K225" s="7"/>
      <c r="L225" s="9"/>
      <c r="M225" s="9"/>
      <c r="N225" s="7"/>
      <c r="P225" s="18"/>
      <c r="Q225" s="2"/>
      <c r="R225" s="2"/>
      <c r="AF225" s="14"/>
    </row>
    <row r="226" spans="1:32" customFormat="1" x14ac:dyDescent="0.25">
      <c r="A226" s="9"/>
      <c r="C226" s="14"/>
      <c r="E226" t="str">
        <f>IF(ISNA(VLOOKUP(C226,P:Q,2,0)),"",VLOOKUP(C226,P:Q,2,0))</f>
        <v/>
      </c>
      <c r="F226" s="15" t="str">
        <f>IF(ISNA(VLOOKUP(C226,P:R,3,0)),"",VLOOKUP(C226,P:R,3,0))</f>
        <v/>
      </c>
      <c r="G226">
        <f>ROUND(IF(D226&gt;0,0,ABS(D226)),2)</f>
        <v>0</v>
      </c>
      <c r="H226">
        <f>ROUND(IF(D226&gt;0,D226,),2)</f>
        <v>0</v>
      </c>
      <c r="K226" s="7"/>
      <c r="L226" s="9"/>
      <c r="M226" s="9"/>
      <c r="N226" s="7"/>
      <c r="P226" s="18"/>
      <c r="Q226" s="2"/>
      <c r="R226" s="2"/>
      <c r="AF226" s="14"/>
    </row>
    <row r="227" spans="1:32" customFormat="1" x14ac:dyDescent="0.25">
      <c r="A227" s="9"/>
      <c r="C227" s="14"/>
      <c r="E227" t="str">
        <f>IF(ISNA(VLOOKUP(C227,P:Q,2,0)),"",VLOOKUP(C227,P:Q,2,0))</f>
        <v/>
      </c>
      <c r="F227" s="15" t="str">
        <f>IF(ISNA(VLOOKUP(C227,P:R,3,0)),"",VLOOKUP(C227,P:R,3,0))</f>
        <v/>
      </c>
      <c r="G227">
        <f>ROUND(IF(D227&gt;0,0,ABS(D227)),2)</f>
        <v>0</v>
      </c>
      <c r="H227">
        <f>ROUND(IF(D227&gt;0,D227,),2)</f>
        <v>0</v>
      </c>
      <c r="K227" s="7"/>
      <c r="L227" s="9"/>
      <c r="M227" s="9"/>
      <c r="N227" s="7"/>
      <c r="P227" s="18"/>
      <c r="Q227" s="2"/>
      <c r="R227" s="2"/>
      <c r="AF227" s="14"/>
    </row>
    <row r="228" spans="1:32" customFormat="1" x14ac:dyDescent="0.25">
      <c r="A228" s="9"/>
      <c r="C228" s="14"/>
      <c r="E228" t="str">
        <f>IF(ISNA(VLOOKUP(C228,P:Q,2,0)),"",VLOOKUP(C228,P:Q,2,0))</f>
        <v/>
      </c>
      <c r="F228" s="15" t="str">
        <f>IF(ISNA(VLOOKUP(C228,P:R,3,0)),"",VLOOKUP(C228,P:R,3,0))</f>
        <v/>
      </c>
      <c r="G228">
        <f>ROUND(IF(D228&gt;0,0,ABS(D228)),2)</f>
        <v>0</v>
      </c>
      <c r="H228">
        <f>ROUND(IF(D228&gt;0,D228,),2)</f>
        <v>0</v>
      </c>
      <c r="K228" s="7"/>
      <c r="L228" s="9"/>
      <c r="M228" s="9"/>
      <c r="N228" s="7"/>
      <c r="P228" s="18"/>
      <c r="Q228" s="2"/>
      <c r="R228" s="2"/>
      <c r="AF228" s="14"/>
    </row>
    <row r="229" spans="1:32" customFormat="1" x14ac:dyDescent="0.25">
      <c r="A229" s="9"/>
      <c r="C229" s="14"/>
      <c r="E229" t="str">
        <f>IF(ISNA(VLOOKUP(C229,P:Q,2,0)),"",VLOOKUP(C229,P:Q,2,0))</f>
        <v/>
      </c>
      <c r="F229" s="15" t="str">
        <f>IF(ISNA(VLOOKUP(C229,P:R,3,0)),"",VLOOKUP(C229,P:R,3,0))</f>
        <v/>
      </c>
      <c r="G229">
        <f>ROUND(IF(D229&gt;0,0,ABS(D229)),2)</f>
        <v>0</v>
      </c>
      <c r="H229">
        <f>ROUND(IF(D229&gt;0,D229,),2)</f>
        <v>0</v>
      </c>
      <c r="K229" s="7"/>
      <c r="L229" s="9"/>
      <c r="M229" s="9"/>
      <c r="N229" s="7"/>
      <c r="P229" s="18"/>
      <c r="Q229" s="2"/>
      <c r="R229" s="2"/>
      <c r="AF229" s="14"/>
    </row>
    <row r="230" spans="1:32" customFormat="1" x14ac:dyDescent="0.25">
      <c r="A230" s="9"/>
      <c r="C230" s="14"/>
      <c r="E230" t="str">
        <f>IF(ISNA(VLOOKUP(C230,P:Q,2,0)),"",VLOOKUP(C230,P:Q,2,0))</f>
        <v/>
      </c>
      <c r="F230" s="15" t="str">
        <f>IF(ISNA(VLOOKUP(C230,P:R,3,0)),"",VLOOKUP(C230,P:R,3,0))</f>
        <v/>
      </c>
      <c r="G230">
        <f>ROUND(IF(D230&gt;0,0,ABS(D230)),2)</f>
        <v>0</v>
      </c>
      <c r="H230">
        <f>ROUND(IF(D230&gt;0,D230,),2)</f>
        <v>0</v>
      </c>
      <c r="K230" s="7"/>
      <c r="L230" s="9"/>
      <c r="M230" s="9"/>
      <c r="N230" s="7"/>
      <c r="P230" s="18"/>
      <c r="Q230" s="2"/>
      <c r="R230" s="2"/>
      <c r="AF230" s="14"/>
    </row>
    <row r="231" spans="1:32" customFormat="1" x14ac:dyDescent="0.25">
      <c r="A231" s="9"/>
      <c r="C231" s="14"/>
      <c r="E231" t="str">
        <f>IF(ISNA(VLOOKUP(C231,P:Q,2,0)),"",VLOOKUP(C231,P:Q,2,0))</f>
        <v/>
      </c>
      <c r="F231" s="15" t="str">
        <f>IF(ISNA(VLOOKUP(C231,P:R,3,0)),"",VLOOKUP(C231,P:R,3,0))</f>
        <v/>
      </c>
      <c r="G231">
        <f>ROUND(IF(D231&gt;0,0,ABS(D231)),2)</f>
        <v>0</v>
      </c>
      <c r="H231">
        <f>ROUND(IF(D231&gt;0,D231,),2)</f>
        <v>0</v>
      </c>
      <c r="K231" s="7"/>
      <c r="L231" s="9"/>
      <c r="M231" s="9"/>
      <c r="N231" s="7"/>
      <c r="P231" s="18"/>
      <c r="Q231" s="2"/>
      <c r="R231" s="2"/>
      <c r="AF231" s="14"/>
    </row>
    <row r="232" spans="1:32" customFormat="1" x14ac:dyDescent="0.25">
      <c r="A232" s="9"/>
      <c r="C232" s="14"/>
      <c r="E232" t="str">
        <f>IF(ISNA(VLOOKUP(C232,P:Q,2,0)),"",VLOOKUP(C232,P:Q,2,0))</f>
        <v/>
      </c>
      <c r="F232" s="15" t="str">
        <f>IF(ISNA(VLOOKUP(C232,P:R,3,0)),"",VLOOKUP(C232,P:R,3,0))</f>
        <v/>
      </c>
      <c r="G232">
        <f>ROUND(IF(D232&gt;0,0,ABS(D232)),2)</f>
        <v>0</v>
      </c>
      <c r="H232">
        <f>ROUND(IF(D232&gt;0,D232,),2)</f>
        <v>0</v>
      </c>
      <c r="K232" s="7"/>
      <c r="L232" s="9"/>
      <c r="M232" s="9"/>
      <c r="N232" s="7"/>
      <c r="P232" s="18"/>
      <c r="Q232" s="2"/>
      <c r="R232" s="2"/>
      <c r="AF232" s="14"/>
    </row>
    <row r="233" spans="1:32" customFormat="1" x14ac:dyDescent="0.25">
      <c r="A233" s="9"/>
      <c r="C233" s="14"/>
      <c r="E233" t="str">
        <f>IF(ISNA(VLOOKUP(C233,P:Q,2,0)),"",VLOOKUP(C233,P:Q,2,0))</f>
        <v/>
      </c>
      <c r="F233" s="15" t="str">
        <f>IF(ISNA(VLOOKUP(C233,P:R,3,0)),"",VLOOKUP(C233,P:R,3,0))</f>
        <v/>
      </c>
      <c r="G233">
        <f>ROUND(IF(D233&gt;0,0,ABS(D233)),2)</f>
        <v>0</v>
      </c>
      <c r="H233">
        <f>ROUND(IF(D233&gt;0,D233,),2)</f>
        <v>0</v>
      </c>
      <c r="K233" s="7"/>
      <c r="L233" s="9"/>
      <c r="M233" s="9"/>
      <c r="N233" s="7"/>
      <c r="P233" s="18"/>
      <c r="Q233" s="2"/>
      <c r="R233" s="2"/>
      <c r="AF233" s="14"/>
    </row>
    <row r="234" spans="1:32" customFormat="1" x14ac:dyDescent="0.25">
      <c r="A234" s="9"/>
      <c r="C234" s="14"/>
      <c r="E234" t="str">
        <f>IF(ISNA(VLOOKUP(C234,P:Q,2,0)),"",VLOOKUP(C234,P:Q,2,0))</f>
        <v/>
      </c>
      <c r="F234" s="15" t="str">
        <f>IF(ISNA(VLOOKUP(C234,P:R,3,0)),"",VLOOKUP(C234,P:R,3,0))</f>
        <v/>
      </c>
      <c r="G234">
        <f>ROUND(IF(D234&gt;0,0,ABS(D234)),2)</f>
        <v>0</v>
      </c>
      <c r="H234">
        <f>ROUND(IF(D234&gt;0,D234,),2)</f>
        <v>0</v>
      </c>
      <c r="K234" s="7"/>
      <c r="L234" s="9"/>
      <c r="M234" s="9"/>
      <c r="N234" s="7"/>
      <c r="P234" s="18"/>
      <c r="Q234" s="2"/>
      <c r="R234" s="2"/>
      <c r="AF234" s="14"/>
    </row>
    <row r="235" spans="1:32" customFormat="1" x14ac:dyDescent="0.25">
      <c r="A235" s="9"/>
      <c r="C235" s="14"/>
      <c r="E235" t="str">
        <f>IF(ISNA(VLOOKUP(C235,P:Q,2,0)),"",VLOOKUP(C235,P:Q,2,0))</f>
        <v/>
      </c>
      <c r="F235" s="15" t="str">
        <f>IF(ISNA(VLOOKUP(C235,P:R,3,0)),"",VLOOKUP(C235,P:R,3,0))</f>
        <v/>
      </c>
      <c r="G235">
        <f>ROUND(IF(D235&gt;0,0,ABS(D235)),2)</f>
        <v>0</v>
      </c>
      <c r="H235">
        <f>ROUND(IF(D235&gt;0,D235,),2)</f>
        <v>0</v>
      </c>
      <c r="K235" s="7"/>
      <c r="L235" s="9"/>
      <c r="M235" s="9"/>
      <c r="N235" s="7"/>
      <c r="P235" s="18"/>
      <c r="Q235" s="2"/>
      <c r="R235" s="2"/>
      <c r="AF235" s="14"/>
    </row>
    <row r="236" spans="1:32" customFormat="1" x14ac:dyDescent="0.25">
      <c r="A236" s="9"/>
      <c r="C236" s="14"/>
      <c r="E236" t="str">
        <f>IF(ISNA(VLOOKUP(C236,P:Q,2,0)),"",VLOOKUP(C236,P:Q,2,0))</f>
        <v/>
      </c>
      <c r="F236" s="15" t="str">
        <f>IF(ISNA(VLOOKUP(C236,P:R,3,0)),"",VLOOKUP(C236,P:R,3,0))</f>
        <v/>
      </c>
      <c r="G236">
        <f>ROUND(IF(D236&gt;0,0,ABS(D236)),2)</f>
        <v>0</v>
      </c>
      <c r="H236">
        <f>ROUND(IF(D236&gt;0,D236,),2)</f>
        <v>0</v>
      </c>
      <c r="K236" s="7"/>
      <c r="L236" s="9"/>
      <c r="M236" s="9"/>
      <c r="N236" s="7"/>
      <c r="P236" s="18"/>
      <c r="Q236" s="2"/>
      <c r="R236" s="2"/>
      <c r="AF236" s="14"/>
    </row>
    <row r="237" spans="1:32" customFormat="1" x14ac:dyDescent="0.25">
      <c r="A237" s="9"/>
      <c r="C237" s="14"/>
      <c r="E237" t="str">
        <f>IF(ISNA(VLOOKUP(C237,P:Q,2,0)),"",VLOOKUP(C237,P:Q,2,0))</f>
        <v/>
      </c>
      <c r="F237" s="15" t="str">
        <f>IF(ISNA(VLOOKUP(C237,P:R,3,0)),"",VLOOKUP(C237,P:R,3,0))</f>
        <v/>
      </c>
      <c r="G237">
        <f>ROUND(IF(D237&gt;0,0,ABS(D237)),2)</f>
        <v>0</v>
      </c>
      <c r="H237">
        <f>ROUND(IF(D237&gt;0,D237,),2)</f>
        <v>0</v>
      </c>
      <c r="K237" s="7"/>
      <c r="L237" s="9"/>
      <c r="M237" s="9"/>
      <c r="N237" s="7"/>
      <c r="P237" s="18"/>
      <c r="Q237" s="2"/>
      <c r="R237" s="2"/>
      <c r="AF237" s="14"/>
    </row>
    <row r="238" spans="1:32" customFormat="1" x14ac:dyDescent="0.25">
      <c r="A238" s="9"/>
      <c r="C238" s="14"/>
      <c r="E238" t="str">
        <f>IF(ISNA(VLOOKUP(C238,P:Q,2,0)),"",VLOOKUP(C238,P:Q,2,0))</f>
        <v/>
      </c>
      <c r="F238" s="15" t="str">
        <f>IF(ISNA(VLOOKUP(C238,P:R,3,0)),"",VLOOKUP(C238,P:R,3,0))</f>
        <v/>
      </c>
      <c r="G238">
        <f>ROUND(IF(D238&gt;0,0,ABS(D238)),2)</f>
        <v>0</v>
      </c>
      <c r="H238">
        <f>ROUND(IF(D238&gt;0,D238,),2)</f>
        <v>0</v>
      </c>
      <c r="K238" s="7"/>
      <c r="L238" s="9"/>
      <c r="M238" s="9"/>
      <c r="N238" s="7"/>
      <c r="P238" s="18"/>
      <c r="Q238" s="2"/>
      <c r="R238" s="2"/>
      <c r="AF238" s="14"/>
    </row>
    <row r="239" spans="1:32" customFormat="1" x14ac:dyDescent="0.25">
      <c r="A239" s="9"/>
      <c r="C239" s="14"/>
      <c r="E239" t="str">
        <f>IF(ISNA(VLOOKUP(C239,P:Q,2,0)),"",VLOOKUP(C239,P:Q,2,0))</f>
        <v/>
      </c>
      <c r="F239" s="15" t="str">
        <f>IF(ISNA(VLOOKUP(C239,P:R,3,0)),"",VLOOKUP(C239,P:R,3,0))</f>
        <v/>
      </c>
      <c r="G239">
        <f>ROUND(IF(D239&gt;0,0,ABS(D239)),2)</f>
        <v>0</v>
      </c>
      <c r="H239">
        <f>ROUND(IF(D239&gt;0,D239,),2)</f>
        <v>0</v>
      </c>
      <c r="K239" s="7"/>
      <c r="L239" s="9"/>
      <c r="M239" s="9"/>
      <c r="N239" s="7"/>
      <c r="P239" s="18"/>
      <c r="Q239" s="2"/>
      <c r="R239" s="2"/>
      <c r="AF239" s="14"/>
    </row>
    <row r="240" spans="1:32" customFormat="1" x14ac:dyDescent="0.25">
      <c r="A240" s="9"/>
      <c r="C240" s="14"/>
      <c r="E240" t="str">
        <f>IF(ISNA(VLOOKUP(C240,P:Q,2,0)),"",VLOOKUP(C240,P:Q,2,0))</f>
        <v/>
      </c>
      <c r="F240" s="15" t="str">
        <f>IF(ISNA(VLOOKUP(C240,P:R,3,0)),"",VLOOKUP(C240,P:R,3,0))</f>
        <v/>
      </c>
      <c r="G240">
        <f>ROUND(IF(D240&gt;0,0,ABS(D240)),2)</f>
        <v>0</v>
      </c>
      <c r="H240">
        <f>ROUND(IF(D240&gt;0,D240,),2)</f>
        <v>0</v>
      </c>
      <c r="K240" s="7"/>
      <c r="L240" s="9"/>
      <c r="M240" s="9"/>
      <c r="N240" s="7"/>
      <c r="P240" s="18"/>
      <c r="Q240" s="2"/>
      <c r="R240" s="2"/>
      <c r="AF240" s="14"/>
    </row>
    <row r="241" spans="1:32" customFormat="1" x14ac:dyDescent="0.25">
      <c r="A241" s="9"/>
      <c r="C241" s="14"/>
      <c r="E241" t="str">
        <f>IF(ISNA(VLOOKUP(C241,P:Q,2,0)),"",VLOOKUP(C241,P:Q,2,0))</f>
        <v/>
      </c>
      <c r="F241" s="15" t="str">
        <f>IF(ISNA(VLOOKUP(C241,P:R,3,0)),"",VLOOKUP(C241,P:R,3,0))</f>
        <v/>
      </c>
      <c r="G241">
        <f>ROUND(IF(D241&gt;0,0,ABS(D241)),2)</f>
        <v>0</v>
      </c>
      <c r="H241">
        <f>ROUND(IF(D241&gt;0,D241,),2)</f>
        <v>0</v>
      </c>
      <c r="K241" s="7"/>
      <c r="L241" s="9"/>
      <c r="M241" s="9"/>
      <c r="N241" s="7"/>
      <c r="P241" s="18"/>
      <c r="Q241" s="2"/>
      <c r="R241" s="2"/>
      <c r="AF241" s="14"/>
    </row>
    <row r="242" spans="1:32" customFormat="1" x14ac:dyDescent="0.25">
      <c r="A242" s="9"/>
      <c r="C242" s="14"/>
      <c r="E242" t="str">
        <f>IF(ISNA(VLOOKUP(C242,P:Q,2,0)),"",VLOOKUP(C242,P:Q,2,0))</f>
        <v/>
      </c>
      <c r="F242" s="15" t="str">
        <f>IF(ISNA(VLOOKUP(C242,P:R,3,0)),"",VLOOKUP(C242,P:R,3,0))</f>
        <v/>
      </c>
      <c r="G242">
        <f>ROUND(IF(D242&gt;0,0,ABS(D242)),2)</f>
        <v>0</v>
      </c>
      <c r="H242">
        <f>ROUND(IF(D242&gt;0,D242,),2)</f>
        <v>0</v>
      </c>
      <c r="K242" s="7"/>
      <c r="L242" s="9"/>
      <c r="M242" s="9"/>
      <c r="N242" s="7"/>
      <c r="P242" s="18"/>
      <c r="Q242" s="2"/>
      <c r="R242" s="2"/>
      <c r="AF242" s="14"/>
    </row>
    <row r="243" spans="1:32" customFormat="1" x14ac:dyDescent="0.25">
      <c r="A243" s="9"/>
      <c r="C243" s="14"/>
      <c r="E243" t="str">
        <f>IF(ISNA(VLOOKUP(C243,P:Q,2,0)),"",VLOOKUP(C243,P:Q,2,0))</f>
        <v/>
      </c>
      <c r="F243" s="15" t="str">
        <f>IF(ISNA(VLOOKUP(C243,P:R,3,0)),"",VLOOKUP(C243,P:R,3,0))</f>
        <v/>
      </c>
      <c r="G243">
        <f>ROUND(IF(D243&gt;0,0,ABS(D243)),2)</f>
        <v>0</v>
      </c>
      <c r="H243">
        <f>ROUND(IF(D243&gt;0,D243,),2)</f>
        <v>0</v>
      </c>
      <c r="K243" s="7"/>
      <c r="L243" s="9"/>
      <c r="M243" s="9"/>
      <c r="N243" s="7"/>
      <c r="P243" s="18"/>
      <c r="Q243" s="2"/>
      <c r="R243" s="2"/>
      <c r="AF243" s="14"/>
    </row>
    <row r="244" spans="1:32" customFormat="1" x14ac:dyDescent="0.25">
      <c r="A244" s="9"/>
      <c r="C244" s="14"/>
      <c r="E244" t="str">
        <f>IF(ISNA(VLOOKUP(C244,P:Q,2,0)),"",VLOOKUP(C244,P:Q,2,0))</f>
        <v/>
      </c>
      <c r="F244" s="15" t="str">
        <f>IF(ISNA(VLOOKUP(C244,P:R,3,0)),"",VLOOKUP(C244,P:R,3,0))</f>
        <v/>
      </c>
      <c r="G244">
        <f>ROUND(IF(D244&gt;0,0,ABS(D244)),2)</f>
        <v>0</v>
      </c>
      <c r="H244">
        <f>ROUND(IF(D244&gt;0,D244,),2)</f>
        <v>0</v>
      </c>
      <c r="K244" s="7"/>
      <c r="L244" s="9"/>
      <c r="M244" s="9"/>
      <c r="N244" s="7"/>
      <c r="P244" s="18"/>
      <c r="Q244" s="2"/>
      <c r="R244" s="2"/>
      <c r="AF244" s="14"/>
    </row>
    <row r="245" spans="1:32" customFormat="1" x14ac:dyDescent="0.25">
      <c r="A245" s="9"/>
      <c r="C245" s="14"/>
      <c r="E245" t="str">
        <f>IF(ISNA(VLOOKUP(C245,P:Q,2,0)),"",VLOOKUP(C245,P:Q,2,0))</f>
        <v/>
      </c>
      <c r="F245" s="15" t="str">
        <f>IF(ISNA(VLOOKUP(C245,P:R,3,0)),"",VLOOKUP(C245,P:R,3,0))</f>
        <v/>
      </c>
      <c r="G245">
        <f>ROUND(IF(D245&gt;0,0,ABS(D245)),2)</f>
        <v>0</v>
      </c>
      <c r="H245">
        <f>ROUND(IF(D245&gt;0,D245,),2)</f>
        <v>0</v>
      </c>
      <c r="K245" s="7"/>
      <c r="L245" s="9"/>
      <c r="M245" s="9"/>
      <c r="N245" s="7"/>
      <c r="P245" s="18"/>
      <c r="Q245" s="2"/>
      <c r="R245" s="2"/>
      <c r="AF245" s="14"/>
    </row>
    <row r="246" spans="1:32" customFormat="1" x14ac:dyDescent="0.25">
      <c r="A246" s="9"/>
      <c r="C246" s="14"/>
      <c r="E246" t="str">
        <f>IF(ISNA(VLOOKUP(C246,P:Q,2,0)),"",VLOOKUP(C246,P:Q,2,0))</f>
        <v/>
      </c>
      <c r="F246" s="15" t="str">
        <f>IF(ISNA(VLOOKUP(C246,P:R,3,0)),"",VLOOKUP(C246,P:R,3,0))</f>
        <v/>
      </c>
      <c r="G246">
        <f>ROUND(IF(D246&gt;0,0,ABS(D246)),2)</f>
        <v>0</v>
      </c>
      <c r="H246">
        <f>ROUND(IF(D246&gt;0,D246,),2)</f>
        <v>0</v>
      </c>
      <c r="K246" s="7"/>
      <c r="L246" s="9"/>
      <c r="M246" s="9"/>
      <c r="N246" s="7"/>
      <c r="P246" s="18"/>
      <c r="Q246" s="2"/>
      <c r="R246" s="2"/>
      <c r="AF246" s="14"/>
    </row>
    <row r="247" spans="1:32" customFormat="1" x14ac:dyDescent="0.25">
      <c r="A247" s="9"/>
      <c r="C247" s="14"/>
      <c r="E247" t="str">
        <f>IF(ISNA(VLOOKUP(C247,P:Q,2,0)),"",VLOOKUP(C247,P:Q,2,0))</f>
        <v/>
      </c>
      <c r="F247" s="15" t="str">
        <f>IF(ISNA(VLOOKUP(C247,P:R,3,0)),"",VLOOKUP(C247,P:R,3,0))</f>
        <v/>
      </c>
      <c r="G247">
        <f>ROUND(IF(D247&gt;0,0,ABS(D247)),2)</f>
        <v>0</v>
      </c>
      <c r="H247">
        <f>ROUND(IF(D247&gt;0,D247,),2)</f>
        <v>0</v>
      </c>
      <c r="K247" s="7"/>
      <c r="L247" s="9"/>
      <c r="M247" s="9"/>
      <c r="N247" s="7"/>
      <c r="P247" s="18"/>
      <c r="Q247" s="2"/>
      <c r="R247" s="2"/>
      <c r="AF247" s="14"/>
    </row>
    <row r="248" spans="1:32" customFormat="1" x14ac:dyDescent="0.25">
      <c r="A248" s="9"/>
      <c r="C248" s="14"/>
      <c r="E248" t="str">
        <f>IF(ISNA(VLOOKUP(C248,P:Q,2,0)),"",VLOOKUP(C248,P:Q,2,0))</f>
        <v/>
      </c>
      <c r="F248" s="15" t="str">
        <f>IF(ISNA(VLOOKUP(C248,P:R,3,0)),"",VLOOKUP(C248,P:R,3,0))</f>
        <v/>
      </c>
      <c r="G248">
        <f>ROUND(IF(D248&gt;0,0,ABS(D248)),2)</f>
        <v>0</v>
      </c>
      <c r="H248">
        <f>ROUND(IF(D248&gt;0,D248,),2)</f>
        <v>0</v>
      </c>
      <c r="K248" s="7"/>
      <c r="L248" s="9"/>
      <c r="M248" s="9"/>
      <c r="N248" s="7"/>
      <c r="P248" s="18"/>
      <c r="Q248" s="2"/>
      <c r="R248" s="2"/>
      <c r="AF248" s="14"/>
    </row>
    <row r="249" spans="1:32" customFormat="1" x14ac:dyDescent="0.25">
      <c r="A249" s="9"/>
      <c r="C249" s="14"/>
      <c r="E249" t="str">
        <f>IF(ISNA(VLOOKUP(C249,P:Q,2,0)),"",VLOOKUP(C249,P:Q,2,0))</f>
        <v/>
      </c>
      <c r="F249" s="15" t="str">
        <f>IF(ISNA(VLOOKUP(C249,P:R,3,0)),"",VLOOKUP(C249,P:R,3,0))</f>
        <v/>
      </c>
      <c r="G249">
        <f>ROUND(IF(D249&gt;0,0,ABS(D249)),2)</f>
        <v>0</v>
      </c>
      <c r="H249">
        <f>ROUND(IF(D249&gt;0,D249,),2)</f>
        <v>0</v>
      </c>
      <c r="K249" s="7"/>
      <c r="L249" s="9"/>
      <c r="M249" s="9"/>
      <c r="N249" s="7"/>
      <c r="P249" s="18"/>
      <c r="Q249" s="2"/>
      <c r="R249" s="2"/>
      <c r="AF249" s="14"/>
    </row>
    <row r="250" spans="1:32" customFormat="1" x14ac:dyDescent="0.25">
      <c r="A250" s="9"/>
      <c r="C250" s="14"/>
      <c r="E250" t="str">
        <f>IF(ISNA(VLOOKUP(C250,P:Q,2,0)),"",VLOOKUP(C250,P:Q,2,0))</f>
        <v/>
      </c>
      <c r="F250" s="15" t="str">
        <f>IF(ISNA(VLOOKUP(C250,P:R,3,0)),"",VLOOKUP(C250,P:R,3,0))</f>
        <v/>
      </c>
      <c r="G250">
        <f>ROUND(IF(D250&gt;0,0,ABS(D250)),2)</f>
        <v>0</v>
      </c>
      <c r="H250">
        <f>ROUND(IF(D250&gt;0,D250,),2)</f>
        <v>0</v>
      </c>
      <c r="K250" s="7"/>
      <c r="L250" s="9"/>
      <c r="M250" s="9"/>
      <c r="N250" s="7"/>
      <c r="P250" s="18"/>
      <c r="Q250" s="2"/>
      <c r="R250" s="2"/>
      <c r="AF250" s="14"/>
    </row>
    <row r="251" spans="1:32" customFormat="1" x14ac:dyDescent="0.25">
      <c r="A251" s="9"/>
      <c r="C251" s="14"/>
      <c r="E251" t="str">
        <f>IF(ISNA(VLOOKUP(C251,P:Q,2,0)),"",VLOOKUP(C251,P:Q,2,0))</f>
        <v/>
      </c>
      <c r="F251" s="15" t="str">
        <f>IF(ISNA(VLOOKUP(C251,P:R,3,0)),"",VLOOKUP(C251,P:R,3,0))</f>
        <v/>
      </c>
      <c r="G251">
        <f>ROUND(IF(D251&gt;0,0,ABS(D251)),2)</f>
        <v>0</v>
      </c>
      <c r="H251">
        <f>ROUND(IF(D251&gt;0,D251,),2)</f>
        <v>0</v>
      </c>
      <c r="K251" s="7"/>
      <c r="L251" s="9"/>
      <c r="M251" s="9"/>
      <c r="N251" s="7"/>
      <c r="P251" s="18"/>
      <c r="Q251" s="2"/>
      <c r="R251" s="2"/>
      <c r="AF251" s="14"/>
    </row>
    <row r="252" spans="1:32" customFormat="1" x14ac:dyDescent="0.25">
      <c r="A252" s="9"/>
      <c r="C252" s="14"/>
      <c r="E252" t="str">
        <f>IF(ISNA(VLOOKUP(C252,P:Q,2,0)),"",VLOOKUP(C252,P:Q,2,0))</f>
        <v/>
      </c>
      <c r="F252" s="15" t="str">
        <f>IF(ISNA(VLOOKUP(C252,P:R,3,0)),"",VLOOKUP(C252,P:R,3,0))</f>
        <v/>
      </c>
      <c r="G252">
        <f>ROUND(IF(D252&gt;0,0,ABS(D252)),2)</f>
        <v>0</v>
      </c>
      <c r="H252">
        <f>ROUND(IF(D252&gt;0,D252,),2)</f>
        <v>0</v>
      </c>
      <c r="K252" s="7"/>
      <c r="L252" s="9"/>
      <c r="M252" s="9"/>
      <c r="N252" s="7"/>
      <c r="P252" s="18"/>
      <c r="Q252" s="2"/>
      <c r="R252" s="2"/>
      <c r="AF252" s="14"/>
    </row>
    <row r="253" spans="1:32" customFormat="1" x14ac:dyDescent="0.25">
      <c r="A253" s="9"/>
      <c r="C253" s="14"/>
      <c r="E253" t="str">
        <f>IF(ISNA(VLOOKUP(C253,P:Q,2,0)),"",VLOOKUP(C253,P:Q,2,0))</f>
        <v/>
      </c>
      <c r="F253" s="15" t="str">
        <f>IF(ISNA(VLOOKUP(C253,P:R,3,0)),"",VLOOKUP(C253,P:R,3,0))</f>
        <v/>
      </c>
      <c r="G253">
        <f>ROUND(IF(D253&gt;0,0,ABS(D253)),2)</f>
        <v>0</v>
      </c>
      <c r="H253">
        <f>ROUND(IF(D253&gt;0,D253,),2)</f>
        <v>0</v>
      </c>
      <c r="K253" s="7"/>
      <c r="L253" s="9"/>
      <c r="M253" s="9"/>
      <c r="N253" s="7"/>
      <c r="P253" s="18"/>
      <c r="Q253" s="2"/>
      <c r="R253" s="2"/>
      <c r="AF253" s="14"/>
    </row>
    <row r="254" spans="1:32" customFormat="1" x14ac:dyDescent="0.25">
      <c r="A254" s="9"/>
      <c r="C254" s="14"/>
      <c r="E254" t="str">
        <f>IF(ISNA(VLOOKUP(C254,P:Q,2,0)),"",VLOOKUP(C254,P:Q,2,0))</f>
        <v/>
      </c>
      <c r="F254" s="15" t="str">
        <f>IF(ISNA(VLOOKUP(C254,P:R,3,0)),"",VLOOKUP(C254,P:R,3,0))</f>
        <v/>
      </c>
      <c r="G254">
        <f>ROUND(IF(D254&gt;0,0,ABS(D254)),2)</f>
        <v>0</v>
      </c>
      <c r="H254">
        <f>ROUND(IF(D254&gt;0,D254,),2)</f>
        <v>0</v>
      </c>
      <c r="K254" s="7"/>
      <c r="L254" s="9"/>
      <c r="M254" s="9"/>
      <c r="N254" s="7"/>
      <c r="P254" s="18"/>
      <c r="Q254" s="2"/>
      <c r="R254" s="2"/>
      <c r="AF254" s="14"/>
    </row>
    <row r="255" spans="1:32" customFormat="1" x14ac:dyDescent="0.25">
      <c r="A255" s="9"/>
      <c r="C255" s="14"/>
      <c r="E255" t="str">
        <f>IF(ISNA(VLOOKUP(C255,P:Q,2,0)),"",VLOOKUP(C255,P:Q,2,0))</f>
        <v/>
      </c>
      <c r="F255" s="15" t="str">
        <f>IF(ISNA(VLOOKUP(C255,P:R,3,0)),"",VLOOKUP(C255,P:R,3,0))</f>
        <v/>
      </c>
      <c r="G255">
        <f>ROUND(IF(D255&gt;0,0,ABS(D255)),2)</f>
        <v>0</v>
      </c>
      <c r="H255">
        <f>ROUND(IF(D255&gt;0,D255,),2)</f>
        <v>0</v>
      </c>
      <c r="K255" s="7"/>
      <c r="L255" s="9"/>
      <c r="M255" s="9"/>
      <c r="N255" s="7"/>
      <c r="P255" s="18"/>
      <c r="Q255" s="2"/>
      <c r="R255" s="2"/>
      <c r="AF255" s="14"/>
    </row>
    <row r="256" spans="1:32" customFormat="1" x14ac:dyDescent="0.25">
      <c r="A256" s="9"/>
      <c r="C256" s="14"/>
      <c r="E256" t="str">
        <f>IF(ISNA(VLOOKUP(C256,P:Q,2,0)),"",VLOOKUP(C256,P:Q,2,0))</f>
        <v/>
      </c>
      <c r="F256" s="15" t="str">
        <f>IF(ISNA(VLOOKUP(C256,P:R,3,0)),"",VLOOKUP(C256,P:R,3,0))</f>
        <v/>
      </c>
      <c r="G256">
        <f>ROUND(IF(D256&gt;0,0,ABS(D256)),2)</f>
        <v>0</v>
      </c>
      <c r="H256">
        <f>ROUND(IF(D256&gt;0,D256,),2)</f>
        <v>0</v>
      </c>
      <c r="K256" s="7"/>
      <c r="L256" s="9"/>
      <c r="M256" s="9"/>
      <c r="N256" s="7"/>
      <c r="P256" s="18"/>
      <c r="Q256" s="2"/>
      <c r="R256" s="2"/>
      <c r="AF256" s="14"/>
    </row>
    <row r="257" spans="1:32" customFormat="1" x14ac:dyDescent="0.25">
      <c r="A257" s="9"/>
      <c r="C257" s="14"/>
      <c r="E257" t="str">
        <f>IF(ISNA(VLOOKUP(C257,P:Q,2,0)),"",VLOOKUP(C257,P:Q,2,0))</f>
        <v/>
      </c>
      <c r="F257" s="15" t="str">
        <f>IF(ISNA(VLOOKUP(C257,P:R,3,0)),"",VLOOKUP(C257,P:R,3,0))</f>
        <v/>
      </c>
      <c r="G257">
        <f>ROUND(IF(D257&gt;0,0,ABS(D257)),2)</f>
        <v>0</v>
      </c>
      <c r="H257">
        <f>ROUND(IF(D257&gt;0,D257,),2)</f>
        <v>0</v>
      </c>
      <c r="K257" s="7"/>
      <c r="L257" s="9"/>
      <c r="M257" s="9"/>
      <c r="N257" s="7"/>
      <c r="P257" s="18"/>
      <c r="Q257" s="2"/>
      <c r="R257" s="2"/>
      <c r="AF257" s="14"/>
    </row>
    <row r="258" spans="1:32" customFormat="1" x14ac:dyDescent="0.25">
      <c r="A258" s="9"/>
      <c r="C258" s="14"/>
      <c r="E258" t="str">
        <f>IF(ISNA(VLOOKUP(C258,P:Q,2,0)),"",VLOOKUP(C258,P:Q,2,0))</f>
        <v/>
      </c>
      <c r="F258" s="15" t="str">
        <f>IF(ISNA(VLOOKUP(C258,P:R,3,0)),"",VLOOKUP(C258,P:R,3,0))</f>
        <v/>
      </c>
      <c r="G258">
        <f>ROUND(IF(D258&gt;0,0,ABS(D258)),2)</f>
        <v>0</v>
      </c>
      <c r="H258">
        <f>ROUND(IF(D258&gt;0,D258,),2)</f>
        <v>0</v>
      </c>
      <c r="K258" s="7"/>
      <c r="L258" s="9"/>
      <c r="M258" s="9"/>
      <c r="N258" s="7"/>
      <c r="P258" s="18"/>
      <c r="Q258" s="2"/>
      <c r="R258" s="2"/>
      <c r="AF258" s="14"/>
    </row>
    <row r="259" spans="1:32" customFormat="1" x14ac:dyDescent="0.25">
      <c r="A259" s="9"/>
      <c r="C259" s="14"/>
      <c r="E259" t="str">
        <f>IF(ISNA(VLOOKUP(C259,P:Q,2,0)),"",VLOOKUP(C259,P:Q,2,0))</f>
        <v/>
      </c>
      <c r="F259" s="15" t="str">
        <f>IF(ISNA(VLOOKUP(C259,P:R,3,0)),"",VLOOKUP(C259,P:R,3,0))</f>
        <v/>
      </c>
      <c r="G259">
        <f>ROUND(IF(D259&gt;0,0,ABS(D259)),2)</f>
        <v>0</v>
      </c>
      <c r="H259">
        <f>ROUND(IF(D259&gt;0,D259,),2)</f>
        <v>0</v>
      </c>
      <c r="K259" s="7"/>
      <c r="L259" s="9"/>
      <c r="M259" s="9"/>
      <c r="N259" s="7"/>
      <c r="P259" s="18"/>
      <c r="Q259" s="2"/>
      <c r="R259" s="2"/>
      <c r="AF259" s="14"/>
    </row>
    <row r="260" spans="1:32" customFormat="1" x14ac:dyDescent="0.25">
      <c r="A260" s="9"/>
      <c r="C260" s="14"/>
      <c r="E260" t="str">
        <f>IF(ISNA(VLOOKUP(C260,P:Q,2,0)),"",VLOOKUP(C260,P:Q,2,0))</f>
        <v/>
      </c>
      <c r="F260" s="15" t="str">
        <f>IF(ISNA(VLOOKUP(C260,P:R,3,0)),"",VLOOKUP(C260,P:R,3,0))</f>
        <v/>
      </c>
      <c r="G260">
        <f>ROUND(IF(D260&gt;0,0,ABS(D260)),2)</f>
        <v>0</v>
      </c>
      <c r="H260">
        <f>ROUND(IF(D260&gt;0,D260,),2)</f>
        <v>0</v>
      </c>
      <c r="K260" s="7"/>
      <c r="L260" s="9"/>
      <c r="M260" s="9"/>
      <c r="N260" s="7"/>
      <c r="P260" s="18"/>
      <c r="Q260" s="2"/>
      <c r="R260" s="2"/>
      <c r="AF260" s="14"/>
    </row>
    <row r="261" spans="1:32" customFormat="1" x14ac:dyDescent="0.25">
      <c r="A261" s="9"/>
      <c r="C261" s="14"/>
      <c r="E261" t="str">
        <f>IF(ISNA(VLOOKUP(C261,P:Q,2,0)),"",VLOOKUP(C261,P:Q,2,0))</f>
        <v/>
      </c>
      <c r="F261" s="15" t="str">
        <f>IF(ISNA(VLOOKUP(C261,P:R,3,0)),"",VLOOKUP(C261,P:R,3,0))</f>
        <v/>
      </c>
      <c r="G261">
        <f>ROUND(IF(D261&gt;0,0,ABS(D261)),2)</f>
        <v>0</v>
      </c>
      <c r="H261">
        <f>ROUND(IF(D261&gt;0,D261,),2)</f>
        <v>0</v>
      </c>
      <c r="K261" s="7"/>
      <c r="L261" s="9"/>
      <c r="M261" s="9"/>
      <c r="N261" s="7"/>
      <c r="P261" s="18"/>
      <c r="Q261" s="2"/>
      <c r="R261" s="2"/>
      <c r="AF261" s="14"/>
    </row>
    <row r="262" spans="1:32" customFormat="1" x14ac:dyDescent="0.25">
      <c r="A262" s="9"/>
      <c r="C262" s="14"/>
      <c r="E262" t="str">
        <f>IF(ISNA(VLOOKUP(C262,P:Q,2,0)),"",VLOOKUP(C262,P:Q,2,0))</f>
        <v/>
      </c>
      <c r="F262" s="15" t="str">
        <f>IF(ISNA(VLOOKUP(C262,P:R,3,0)),"",VLOOKUP(C262,P:R,3,0))</f>
        <v/>
      </c>
      <c r="G262">
        <f>ROUND(IF(D262&gt;0,0,ABS(D262)),2)</f>
        <v>0</v>
      </c>
      <c r="H262">
        <f>ROUND(IF(D262&gt;0,D262,),2)</f>
        <v>0</v>
      </c>
      <c r="K262" s="7"/>
      <c r="L262" s="9"/>
      <c r="M262" s="9"/>
      <c r="N262" s="7"/>
      <c r="P262" s="18"/>
      <c r="Q262" s="2"/>
      <c r="R262" s="2"/>
      <c r="AF262" s="14"/>
    </row>
    <row r="263" spans="1:32" customFormat="1" x14ac:dyDescent="0.25">
      <c r="A263" s="9"/>
      <c r="C263" s="14"/>
      <c r="E263" t="str">
        <f>IF(ISNA(VLOOKUP(C263,P:Q,2,0)),"",VLOOKUP(C263,P:Q,2,0))</f>
        <v/>
      </c>
      <c r="F263" s="15" t="str">
        <f>IF(ISNA(VLOOKUP(C263,P:R,3,0)),"",VLOOKUP(C263,P:R,3,0))</f>
        <v/>
      </c>
      <c r="G263">
        <f>ROUND(IF(D263&gt;0,0,ABS(D263)),2)</f>
        <v>0</v>
      </c>
      <c r="H263">
        <f>ROUND(IF(D263&gt;0,D263,),2)</f>
        <v>0</v>
      </c>
      <c r="K263" s="7"/>
      <c r="L263" s="9"/>
      <c r="M263" s="9"/>
      <c r="N263" s="7"/>
      <c r="P263" s="18"/>
      <c r="Q263" s="2"/>
      <c r="R263" s="2"/>
      <c r="AF263" s="14"/>
    </row>
    <row r="264" spans="1:32" customFormat="1" x14ac:dyDescent="0.25">
      <c r="A264" s="9"/>
      <c r="C264" s="14"/>
      <c r="E264" t="str">
        <f>IF(ISNA(VLOOKUP(C264,P:Q,2,0)),"",VLOOKUP(C264,P:Q,2,0))</f>
        <v/>
      </c>
      <c r="F264" s="15" t="str">
        <f>IF(ISNA(VLOOKUP(C264,P:R,3,0)),"",VLOOKUP(C264,P:R,3,0))</f>
        <v/>
      </c>
      <c r="G264">
        <f>ROUND(IF(D264&gt;0,0,ABS(D264)),2)</f>
        <v>0</v>
      </c>
      <c r="H264">
        <f>ROUND(IF(D264&gt;0,D264,),2)</f>
        <v>0</v>
      </c>
      <c r="K264" s="7"/>
      <c r="L264" s="9"/>
      <c r="M264" s="9"/>
      <c r="N264" s="7"/>
      <c r="P264" s="18"/>
      <c r="Q264" s="2"/>
      <c r="R264" s="2"/>
      <c r="AF264" s="14"/>
    </row>
    <row r="265" spans="1:32" customFormat="1" x14ac:dyDescent="0.25">
      <c r="A265" s="9"/>
      <c r="C265" s="14"/>
      <c r="E265" t="str">
        <f>IF(ISNA(VLOOKUP(C265,P:Q,2,0)),"",VLOOKUP(C265,P:Q,2,0))</f>
        <v/>
      </c>
      <c r="F265" s="15" t="str">
        <f>IF(ISNA(VLOOKUP(C265,P:R,3,0)),"",VLOOKUP(C265,P:R,3,0))</f>
        <v/>
      </c>
      <c r="G265">
        <f>ROUND(IF(D265&gt;0,0,ABS(D265)),2)</f>
        <v>0</v>
      </c>
      <c r="H265">
        <f>ROUND(IF(D265&gt;0,D265,),2)</f>
        <v>0</v>
      </c>
      <c r="K265" s="7"/>
      <c r="L265" s="9"/>
      <c r="M265" s="9"/>
      <c r="N265" s="7"/>
      <c r="P265" s="18"/>
      <c r="Q265" s="2"/>
      <c r="R265" s="2"/>
      <c r="AF265" s="14"/>
    </row>
    <row r="266" spans="1:32" customFormat="1" x14ac:dyDescent="0.25">
      <c r="A266" s="9"/>
      <c r="C266" s="14"/>
      <c r="E266" t="str">
        <f>IF(ISNA(VLOOKUP(C266,P:Q,2,0)),"",VLOOKUP(C266,P:Q,2,0))</f>
        <v/>
      </c>
      <c r="F266" s="15" t="str">
        <f>IF(ISNA(VLOOKUP(C266,P:R,3,0)),"",VLOOKUP(C266,P:R,3,0))</f>
        <v/>
      </c>
      <c r="G266">
        <f>ROUND(IF(D266&gt;0,0,ABS(D266)),2)</f>
        <v>0</v>
      </c>
      <c r="H266">
        <f>ROUND(IF(D266&gt;0,D266,),2)</f>
        <v>0</v>
      </c>
      <c r="K266" s="7"/>
      <c r="L266" s="9"/>
      <c r="M266" s="9"/>
      <c r="N266" s="7"/>
      <c r="P266" s="18"/>
      <c r="Q266" s="2"/>
      <c r="R266" s="2"/>
      <c r="AF266" s="14"/>
    </row>
    <row r="267" spans="1:32" customFormat="1" x14ac:dyDescent="0.25">
      <c r="A267" s="9"/>
      <c r="C267" s="14"/>
      <c r="E267" t="str">
        <f>IF(ISNA(VLOOKUP(C267,P:Q,2,0)),"",VLOOKUP(C267,P:Q,2,0))</f>
        <v/>
      </c>
      <c r="F267" s="15" t="str">
        <f>IF(ISNA(VLOOKUP(C267,P:R,3,0)),"",VLOOKUP(C267,P:R,3,0))</f>
        <v/>
      </c>
      <c r="G267">
        <f>ROUND(IF(D267&gt;0,0,ABS(D267)),2)</f>
        <v>0</v>
      </c>
      <c r="H267">
        <f>ROUND(IF(D267&gt;0,D267,),2)</f>
        <v>0</v>
      </c>
      <c r="K267" s="7"/>
      <c r="L267" s="9"/>
      <c r="M267" s="9"/>
      <c r="N267" s="7"/>
      <c r="P267" s="18"/>
      <c r="Q267" s="2"/>
      <c r="R267" s="2"/>
      <c r="AF267" s="14"/>
    </row>
    <row r="268" spans="1:32" customFormat="1" x14ac:dyDescent="0.25">
      <c r="A268" s="9"/>
      <c r="C268" s="14"/>
      <c r="E268" t="str">
        <f>IF(ISNA(VLOOKUP(C268,P:Q,2,0)),"",VLOOKUP(C268,P:Q,2,0))</f>
        <v/>
      </c>
      <c r="F268" s="15" t="str">
        <f>IF(ISNA(VLOOKUP(C268,P:R,3,0)),"",VLOOKUP(C268,P:R,3,0))</f>
        <v/>
      </c>
      <c r="G268">
        <f>ROUND(IF(D268&gt;0,0,ABS(D268)),2)</f>
        <v>0</v>
      </c>
      <c r="H268">
        <f>ROUND(IF(D268&gt;0,D268,),2)</f>
        <v>0</v>
      </c>
      <c r="K268" s="7"/>
      <c r="L268" s="9"/>
      <c r="M268" s="9"/>
      <c r="N268" s="7"/>
      <c r="P268" s="18"/>
      <c r="Q268" s="2"/>
      <c r="R268" s="2"/>
      <c r="AF268" s="14"/>
    </row>
    <row r="269" spans="1:32" customFormat="1" x14ac:dyDescent="0.25">
      <c r="A269" s="9"/>
      <c r="C269" s="14"/>
      <c r="E269" t="str">
        <f>IF(ISNA(VLOOKUP(C269,P:Q,2,0)),"",VLOOKUP(C269,P:Q,2,0))</f>
        <v/>
      </c>
      <c r="F269" s="15" t="str">
        <f>IF(ISNA(VLOOKUP(C269,P:R,3,0)),"",VLOOKUP(C269,P:R,3,0))</f>
        <v/>
      </c>
      <c r="G269">
        <f>ROUND(IF(D269&gt;0,0,ABS(D269)),2)</f>
        <v>0</v>
      </c>
      <c r="H269">
        <f>ROUND(IF(D269&gt;0,D269,),2)</f>
        <v>0</v>
      </c>
      <c r="K269" s="7"/>
      <c r="L269" s="9"/>
      <c r="M269" s="9"/>
      <c r="N269" s="7"/>
      <c r="P269" s="18"/>
      <c r="Q269" s="2"/>
      <c r="R269" s="2"/>
      <c r="AF269" s="14"/>
    </row>
    <row r="270" spans="1:32" customFormat="1" x14ac:dyDescent="0.25">
      <c r="A270" s="9"/>
      <c r="C270" s="14"/>
      <c r="E270" t="str">
        <f>IF(ISNA(VLOOKUP(C270,P:Q,2,0)),"",VLOOKUP(C270,P:Q,2,0))</f>
        <v/>
      </c>
      <c r="F270" s="15" t="str">
        <f>IF(ISNA(VLOOKUP(C270,P:R,3,0)),"",VLOOKUP(C270,P:R,3,0))</f>
        <v/>
      </c>
      <c r="G270">
        <f>ROUND(IF(D270&gt;0,0,ABS(D270)),2)</f>
        <v>0</v>
      </c>
      <c r="H270">
        <f>ROUND(IF(D270&gt;0,D270,),2)</f>
        <v>0</v>
      </c>
      <c r="K270" s="7"/>
      <c r="L270" s="9"/>
      <c r="M270" s="9"/>
      <c r="N270" s="7"/>
      <c r="P270" s="18"/>
      <c r="Q270" s="2"/>
      <c r="R270" s="2"/>
      <c r="AF270" s="14"/>
    </row>
    <row r="271" spans="1:32" customFormat="1" x14ac:dyDescent="0.25">
      <c r="A271" s="9"/>
      <c r="C271" s="14"/>
      <c r="E271" t="str">
        <f>IF(ISNA(VLOOKUP(C271,P:Q,2,0)),"",VLOOKUP(C271,P:Q,2,0))</f>
        <v/>
      </c>
      <c r="F271" s="15" t="str">
        <f>IF(ISNA(VLOOKUP(C271,P:R,3,0)),"",VLOOKUP(C271,P:R,3,0))</f>
        <v/>
      </c>
      <c r="G271">
        <f>ROUND(IF(D271&gt;0,0,ABS(D271)),2)</f>
        <v>0</v>
      </c>
      <c r="H271">
        <f>ROUND(IF(D271&gt;0,D271,),2)</f>
        <v>0</v>
      </c>
      <c r="K271" s="7"/>
      <c r="L271" s="9"/>
      <c r="M271" s="9"/>
      <c r="N271" s="7"/>
      <c r="P271" s="18"/>
      <c r="Q271" s="2"/>
      <c r="R271" s="2"/>
      <c r="AF271" s="14"/>
    </row>
    <row r="272" spans="1:32" customFormat="1" x14ac:dyDescent="0.25">
      <c r="A272" s="9"/>
      <c r="C272" s="14"/>
      <c r="E272" t="str">
        <f>IF(ISNA(VLOOKUP(C272,P:Q,2,0)),"",VLOOKUP(C272,P:Q,2,0))</f>
        <v/>
      </c>
      <c r="F272" s="15" t="str">
        <f>IF(ISNA(VLOOKUP(C272,P:R,3,0)),"",VLOOKUP(C272,P:R,3,0))</f>
        <v/>
      </c>
      <c r="G272">
        <f>ROUND(IF(D272&gt;0,0,ABS(D272)),2)</f>
        <v>0</v>
      </c>
      <c r="H272">
        <f>ROUND(IF(D272&gt;0,D272,),2)</f>
        <v>0</v>
      </c>
      <c r="K272" s="7"/>
      <c r="L272" s="9"/>
      <c r="M272" s="9"/>
      <c r="N272" s="7"/>
      <c r="P272" s="18"/>
      <c r="Q272" s="2"/>
      <c r="R272" s="2"/>
      <c r="AF272" s="14"/>
    </row>
    <row r="273" spans="1:32" customFormat="1" x14ac:dyDescent="0.25">
      <c r="A273" s="9"/>
      <c r="C273" s="14"/>
      <c r="E273" t="str">
        <f>IF(ISNA(VLOOKUP(C273,P:Q,2,0)),"",VLOOKUP(C273,P:Q,2,0))</f>
        <v/>
      </c>
      <c r="F273" s="15" t="str">
        <f>IF(ISNA(VLOOKUP(C273,P:R,3,0)),"",VLOOKUP(C273,P:R,3,0))</f>
        <v/>
      </c>
      <c r="G273">
        <f>ROUND(IF(D273&gt;0,0,ABS(D273)),2)</f>
        <v>0</v>
      </c>
      <c r="H273">
        <f>ROUND(IF(D273&gt;0,D273,),2)</f>
        <v>0</v>
      </c>
      <c r="K273" s="7"/>
      <c r="L273" s="9"/>
      <c r="M273" s="9"/>
      <c r="N273" s="7"/>
      <c r="P273" s="18"/>
      <c r="Q273" s="2"/>
      <c r="R273" s="2"/>
      <c r="AF273" s="14"/>
    </row>
    <row r="274" spans="1:32" customFormat="1" x14ac:dyDescent="0.25">
      <c r="A274" s="9"/>
      <c r="C274" s="14"/>
      <c r="E274" t="str">
        <f>IF(ISNA(VLOOKUP(C274,P:Q,2,0)),"",VLOOKUP(C274,P:Q,2,0))</f>
        <v/>
      </c>
      <c r="F274" s="15" t="str">
        <f>IF(ISNA(VLOOKUP(C274,P:R,3,0)),"",VLOOKUP(C274,P:R,3,0))</f>
        <v/>
      </c>
      <c r="G274">
        <f>ROUND(IF(D274&gt;0,0,ABS(D274)),2)</f>
        <v>0</v>
      </c>
      <c r="H274">
        <f>ROUND(IF(D274&gt;0,D274,),2)</f>
        <v>0</v>
      </c>
      <c r="K274" s="7"/>
      <c r="L274" s="9"/>
      <c r="M274" s="9"/>
      <c r="N274" s="7"/>
      <c r="P274" s="18"/>
      <c r="Q274" s="2"/>
      <c r="R274" s="2"/>
      <c r="AF274" s="14"/>
    </row>
    <row r="275" spans="1:32" customFormat="1" x14ac:dyDescent="0.25">
      <c r="A275" s="9"/>
      <c r="C275" s="14"/>
      <c r="E275" t="str">
        <f>IF(ISNA(VLOOKUP(C275,P:Q,2,0)),"",VLOOKUP(C275,P:Q,2,0))</f>
        <v/>
      </c>
      <c r="F275" s="15" t="str">
        <f>IF(ISNA(VLOOKUP(C275,P:R,3,0)),"",VLOOKUP(C275,P:R,3,0))</f>
        <v/>
      </c>
      <c r="G275">
        <f>ROUND(IF(D275&gt;0,0,ABS(D275)),2)</f>
        <v>0</v>
      </c>
      <c r="H275">
        <f>ROUND(IF(D275&gt;0,D275,),2)</f>
        <v>0</v>
      </c>
      <c r="K275" s="7"/>
      <c r="L275" s="9"/>
      <c r="M275" s="9"/>
      <c r="N275" s="7"/>
      <c r="P275" s="18"/>
      <c r="Q275" s="2"/>
      <c r="R275" s="2"/>
      <c r="AF275" s="14"/>
    </row>
    <row r="276" spans="1:32" customFormat="1" x14ac:dyDescent="0.25">
      <c r="A276" s="9"/>
      <c r="C276" s="14"/>
      <c r="E276" t="str">
        <f>IF(ISNA(VLOOKUP(C276,P:Q,2,0)),"",VLOOKUP(C276,P:Q,2,0))</f>
        <v/>
      </c>
      <c r="F276" s="15" t="str">
        <f>IF(ISNA(VLOOKUP(C276,P:R,3,0)),"",VLOOKUP(C276,P:R,3,0))</f>
        <v/>
      </c>
      <c r="G276">
        <f>ROUND(IF(D276&gt;0,0,ABS(D276)),2)</f>
        <v>0</v>
      </c>
      <c r="H276">
        <f>ROUND(IF(D276&gt;0,D276,),2)</f>
        <v>0</v>
      </c>
      <c r="K276" s="7"/>
      <c r="L276" s="9"/>
      <c r="M276" s="9"/>
      <c r="N276" s="7"/>
      <c r="P276" s="18"/>
      <c r="Q276" s="2"/>
      <c r="R276" s="2"/>
      <c r="AF276" s="14"/>
    </row>
    <row r="277" spans="1:32" customFormat="1" x14ac:dyDescent="0.25">
      <c r="A277" s="9"/>
      <c r="C277" s="14"/>
      <c r="E277" t="str">
        <f>IF(ISNA(VLOOKUP(C277,P:Q,2,0)),"",VLOOKUP(C277,P:Q,2,0))</f>
        <v/>
      </c>
      <c r="F277" s="15" t="str">
        <f>IF(ISNA(VLOOKUP(C277,P:R,3,0)),"",VLOOKUP(C277,P:R,3,0))</f>
        <v/>
      </c>
      <c r="G277">
        <f>ROUND(IF(D277&gt;0,0,ABS(D277)),2)</f>
        <v>0</v>
      </c>
      <c r="H277">
        <f>ROUND(IF(D277&gt;0,D277,),2)</f>
        <v>0</v>
      </c>
      <c r="K277" s="7"/>
      <c r="L277" s="9"/>
      <c r="M277" s="9"/>
      <c r="N277" s="7"/>
      <c r="P277" s="18"/>
      <c r="Q277" s="2"/>
      <c r="R277" s="2"/>
      <c r="AF277" s="14"/>
    </row>
    <row r="278" spans="1:32" customFormat="1" x14ac:dyDescent="0.25">
      <c r="A278" s="9"/>
      <c r="C278" s="14"/>
      <c r="E278" t="str">
        <f>IF(ISNA(VLOOKUP(C278,P:Q,2,0)),"",VLOOKUP(C278,P:Q,2,0))</f>
        <v/>
      </c>
      <c r="F278" s="15" t="str">
        <f>IF(ISNA(VLOOKUP(C278,P:R,3,0)),"",VLOOKUP(C278,P:R,3,0))</f>
        <v/>
      </c>
      <c r="G278">
        <f>ROUND(IF(D278&gt;0,0,ABS(D278)),2)</f>
        <v>0</v>
      </c>
      <c r="H278">
        <f>ROUND(IF(D278&gt;0,D278,),2)</f>
        <v>0</v>
      </c>
      <c r="K278" s="7"/>
      <c r="L278" s="9"/>
      <c r="M278" s="9"/>
      <c r="N278" s="7"/>
      <c r="P278" s="18"/>
      <c r="Q278" s="2"/>
      <c r="R278" s="2"/>
      <c r="AF278" s="14"/>
    </row>
    <row r="279" spans="1:32" customFormat="1" x14ac:dyDescent="0.25">
      <c r="A279" s="9"/>
      <c r="C279" s="14"/>
      <c r="E279" t="str">
        <f>IF(ISNA(VLOOKUP(C279,P:Q,2,0)),"",VLOOKUP(C279,P:Q,2,0))</f>
        <v/>
      </c>
      <c r="F279" s="15" t="str">
        <f>IF(ISNA(VLOOKUP(C279,P:R,3,0)),"",VLOOKUP(C279,P:R,3,0))</f>
        <v/>
      </c>
      <c r="G279">
        <f>ROUND(IF(D279&gt;0,0,ABS(D279)),2)</f>
        <v>0</v>
      </c>
      <c r="H279">
        <f>ROUND(IF(D279&gt;0,D279,),2)</f>
        <v>0</v>
      </c>
      <c r="K279" s="7"/>
      <c r="L279" s="9"/>
      <c r="M279" s="9"/>
      <c r="N279" s="7"/>
      <c r="P279" s="18"/>
      <c r="Q279" s="2"/>
      <c r="R279" s="2"/>
      <c r="AF279" s="14"/>
    </row>
    <row r="280" spans="1:32" customFormat="1" x14ac:dyDescent="0.25">
      <c r="A280" s="9"/>
      <c r="C280" s="14"/>
      <c r="E280" t="str">
        <f>IF(ISNA(VLOOKUP(C280,P:Q,2,0)),"",VLOOKUP(C280,P:Q,2,0))</f>
        <v/>
      </c>
      <c r="F280" s="15" t="str">
        <f>IF(ISNA(VLOOKUP(C280,P:R,3,0)),"",VLOOKUP(C280,P:R,3,0))</f>
        <v/>
      </c>
      <c r="G280">
        <f>ROUND(IF(D280&gt;0,0,ABS(D280)),2)</f>
        <v>0</v>
      </c>
      <c r="H280">
        <f>ROUND(IF(D280&gt;0,D280,),2)</f>
        <v>0</v>
      </c>
      <c r="K280" s="7"/>
      <c r="L280" s="9"/>
      <c r="M280" s="9"/>
      <c r="N280" s="7"/>
      <c r="P280" s="18"/>
      <c r="Q280" s="2"/>
      <c r="R280" s="2"/>
      <c r="AF280" s="14"/>
    </row>
    <row r="281" spans="1:32" customFormat="1" x14ac:dyDescent="0.25">
      <c r="A281" s="9"/>
      <c r="C281" s="14"/>
      <c r="E281" t="str">
        <f>IF(ISNA(VLOOKUP(C281,P:Q,2,0)),"",VLOOKUP(C281,P:Q,2,0))</f>
        <v/>
      </c>
      <c r="F281" s="15" t="str">
        <f>IF(ISNA(VLOOKUP(C281,P:R,3,0)),"",VLOOKUP(C281,P:R,3,0))</f>
        <v/>
      </c>
      <c r="G281">
        <f>ROUND(IF(D281&gt;0,0,ABS(D281)),2)</f>
        <v>0</v>
      </c>
      <c r="H281">
        <f>ROUND(IF(D281&gt;0,D281,),2)</f>
        <v>0</v>
      </c>
      <c r="K281" s="7"/>
      <c r="L281" s="9"/>
      <c r="M281" s="9"/>
      <c r="N281" s="7"/>
      <c r="P281" s="18"/>
      <c r="Q281" s="2"/>
      <c r="R281" s="2"/>
      <c r="AF281" s="14"/>
    </row>
    <row r="282" spans="1:32" customFormat="1" x14ac:dyDescent="0.25">
      <c r="A282" s="9"/>
      <c r="C282" s="14"/>
      <c r="E282" t="str">
        <f>IF(ISNA(VLOOKUP(C282,P:Q,2,0)),"",VLOOKUP(C282,P:Q,2,0))</f>
        <v/>
      </c>
      <c r="F282" s="15" t="str">
        <f>IF(ISNA(VLOOKUP(C282,P:R,3,0)),"",VLOOKUP(C282,P:R,3,0))</f>
        <v/>
      </c>
      <c r="G282">
        <f>ROUND(IF(D282&gt;0,0,ABS(D282)),2)</f>
        <v>0</v>
      </c>
      <c r="H282">
        <f>ROUND(IF(D282&gt;0,D282,),2)</f>
        <v>0</v>
      </c>
      <c r="K282" s="7"/>
      <c r="L282" s="9"/>
      <c r="M282" s="9"/>
      <c r="N282" s="7"/>
      <c r="P282" s="18"/>
      <c r="Q282" s="2"/>
      <c r="R282" s="2"/>
      <c r="AF282" s="14"/>
    </row>
    <row r="283" spans="1:32" customFormat="1" x14ac:dyDescent="0.25">
      <c r="A283" s="9"/>
      <c r="C283" s="14"/>
      <c r="E283" t="str">
        <f>IF(ISNA(VLOOKUP(C283,P:Q,2,0)),"",VLOOKUP(C283,P:Q,2,0))</f>
        <v/>
      </c>
      <c r="F283" s="15" t="str">
        <f>IF(ISNA(VLOOKUP(C283,P:R,3,0)),"",VLOOKUP(C283,P:R,3,0))</f>
        <v/>
      </c>
      <c r="G283">
        <f>ROUND(IF(D283&gt;0,0,ABS(D283)),2)</f>
        <v>0</v>
      </c>
      <c r="H283">
        <f>ROUND(IF(D283&gt;0,D283,),2)</f>
        <v>0</v>
      </c>
      <c r="K283" s="7"/>
      <c r="L283" s="9"/>
      <c r="M283" s="9"/>
      <c r="N283" s="7"/>
      <c r="P283" s="18"/>
      <c r="Q283" s="2"/>
      <c r="R283" s="2"/>
      <c r="AF283" s="14"/>
    </row>
    <row r="284" spans="1:32" customFormat="1" x14ac:dyDescent="0.25">
      <c r="A284" s="9"/>
      <c r="C284" s="14"/>
      <c r="E284" t="str">
        <f>IF(ISNA(VLOOKUP(C284,P:Q,2,0)),"",VLOOKUP(C284,P:Q,2,0))</f>
        <v/>
      </c>
      <c r="F284" s="15" t="str">
        <f>IF(ISNA(VLOOKUP(C284,P:R,3,0)),"",VLOOKUP(C284,P:R,3,0))</f>
        <v/>
      </c>
      <c r="G284">
        <f>ROUND(IF(D284&gt;0,0,ABS(D284)),2)</f>
        <v>0</v>
      </c>
      <c r="H284">
        <f>ROUND(IF(D284&gt;0,D284,),2)</f>
        <v>0</v>
      </c>
      <c r="K284" s="7"/>
      <c r="L284" s="9"/>
      <c r="M284" s="9"/>
      <c r="N284" s="7"/>
      <c r="P284" s="18"/>
      <c r="Q284" s="2"/>
      <c r="R284" s="2"/>
      <c r="AF284" s="14"/>
    </row>
    <row r="285" spans="1:32" customFormat="1" x14ac:dyDescent="0.25">
      <c r="A285" s="9"/>
      <c r="C285" s="14"/>
      <c r="E285" t="str">
        <f>IF(ISNA(VLOOKUP(C285,P:Q,2,0)),"",VLOOKUP(C285,P:Q,2,0))</f>
        <v/>
      </c>
      <c r="F285" s="15" t="str">
        <f>IF(ISNA(VLOOKUP(C285,P:R,3,0)),"",VLOOKUP(C285,P:R,3,0))</f>
        <v/>
      </c>
      <c r="G285">
        <f>ROUND(IF(D285&gt;0,0,ABS(D285)),2)</f>
        <v>0</v>
      </c>
      <c r="H285">
        <f>ROUND(IF(D285&gt;0,D285,),2)</f>
        <v>0</v>
      </c>
      <c r="K285" s="7"/>
      <c r="L285" s="9"/>
      <c r="M285" s="9"/>
      <c r="N285" s="7"/>
      <c r="P285" s="18"/>
      <c r="Q285" s="2"/>
      <c r="R285" s="2"/>
      <c r="AF285" s="14"/>
    </row>
    <row r="286" spans="1:32" customFormat="1" x14ac:dyDescent="0.25">
      <c r="A286" s="9"/>
      <c r="C286" s="14"/>
      <c r="E286" t="str">
        <f>IF(ISNA(VLOOKUP(C286,P:Q,2,0)),"",VLOOKUP(C286,P:Q,2,0))</f>
        <v/>
      </c>
      <c r="F286" s="15" t="str">
        <f>IF(ISNA(VLOOKUP(C286,P:R,3,0)),"",VLOOKUP(C286,P:R,3,0))</f>
        <v/>
      </c>
      <c r="G286">
        <f>ROUND(IF(D286&gt;0,0,ABS(D286)),2)</f>
        <v>0</v>
      </c>
      <c r="H286">
        <f>ROUND(IF(D286&gt;0,D286,),2)</f>
        <v>0</v>
      </c>
      <c r="K286" s="7"/>
      <c r="L286" s="9"/>
      <c r="M286" s="9"/>
      <c r="N286" s="7"/>
      <c r="P286" s="18"/>
      <c r="Q286" s="2"/>
      <c r="R286" s="2"/>
      <c r="AF286" s="14"/>
    </row>
    <row r="287" spans="1:32" customFormat="1" x14ac:dyDescent="0.25">
      <c r="A287" s="9"/>
      <c r="C287" s="14"/>
      <c r="E287" t="str">
        <f>IF(ISNA(VLOOKUP(C287,P:Q,2,0)),"",VLOOKUP(C287,P:Q,2,0))</f>
        <v/>
      </c>
      <c r="F287" s="15" t="str">
        <f>IF(ISNA(VLOOKUP(C287,P:R,3,0)),"",VLOOKUP(C287,P:R,3,0))</f>
        <v/>
      </c>
      <c r="G287">
        <f>ROUND(IF(D287&gt;0,0,ABS(D287)),2)</f>
        <v>0</v>
      </c>
      <c r="H287">
        <f>ROUND(IF(D287&gt;0,D287,),2)</f>
        <v>0</v>
      </c>
      <c r="K287" s="7"/>
      <c r="L287" s="9"/>
      <c r="M287" s="9"/>
      <c r="N287" s="7"/>
      <c r="P287" s="18"/>
      <c r="Q287" s="2"/>
      <c r="R287" s="2"/>
      <c r="AF287" s="14"/>
    </row>
    <row r="288" spans="1:32" customFormat="1" x14ac:dyDescent="0.25">
      <c r="A288" s="9"/>
      <c r="C288" s="14"/>
      <c r="E288" t="str">
        <f>IF(ISNA(VLOOKUP(C288,P:Q,2,0)),"",VLOOKUP(C288,P:Q,2,0))</f>
        <v/>
      </c>
      <c r="F288" s="15" t="str">
        <f>IF(ISNA(VLOOKUP(C288,P:R,3,0)),"",VLOOKUP(C288,P:R,3,0))</f>
        <v/>
      </c>
      <c r="G288">
        <f>ROUND(IF(D288&gt;0,0,ABS(D288)),2)</f>
        <v>0</v>
      </c>
      <c r="H288">
        <f>ROUND(IF(D288&gt;0,D288,),2)</f>
        <v>0</v>
      </c>
      <c r="K288" s="7"/>
      <c r="L288" s="9"/>
      <c r="M288" s="9"/>
      <c r="N288" s="7"/>
      <c r="P288" s="18"/>
      <c r="Q288" s="2"/>
      <c r="R288" s="2"/>
      <c r="AF288" s="14"/>
    </row>
    <row r="289" spans="1:32" customFormat="1" x14ac:dyDescent="0.25">
      <c r="A289" s="9"/>
      <c r="C289" s="14"/>
      <c r="E289" t="str">
        <f>IF(ISNA(VLOOKUP(C289,P:Q,2,0)),"",VLOOKUP(C289,P:Q,2,0))</f>
        <v/>
      </c>
      <c r="F289" s="15" t="str">
        <f>IF(ISNA(VLOOKUP(C289,P:R,3,0)),"",VLOOKUP(C289,P:R,3,0))</f>
        <v/>
      </c>
      <c r="G289">
        <f>ROUND(IF(D289&gt;0,0,ABS(D289)),2)</f>
        <v>0</v>
      </c>
      <c r="H289">
        <f>ROUND(IF(D289&gt;0,D289,),2)</f>
        <v>0</v>
      </c>
      <c r="K289" s="7"/>
      <c r="L289" s="9"/>
      <c r="M289" s="9"/>
      <c r="N289" s="7"/>
      <c r="P289" s="18"/>
      <c r="Q289" s="2"/>
      <c r="R289" s="2"/>
      <c r="AF289" s="14"/>
    </row>
    <row r="290" spans="1:32" customFormat="1" x14ac:dyDescent="0.25">
      <c r="A290" s="9"/>
      <c r="C290" s="14"/>
      <c r="E290" t="str">
        <f>IF(ISNA(VLOOKUP(C290,P:Q,2,0)),"",VLOOKUP(C290,P:Q,2,0))</f>
        <v/>
      </c>
      <c r="F290" s="15" t="str">
        <f>IF(ISNA(VLOOKUP(C290,P:R,3,0)),"",VLOOKUP(C290,P:R,3,0))</f>
        <v/>
      </c>
      <c r="G290">
        <f>ROUND(IF(D290&gt;0,0,ABS(D290)),2)</f>
        <v>0</v>
      </c>
      <c r="H290">
        <f>ROUND(IF(D290&gt;0,D290,),2)</f>
        <v>0</v>
      </c>
      <c r="K290" s="7"/>
      <c r="L290" s="9"/>
      <c r="M290" s="9"/>
      <c r="N290" s="7"/>
      <c r="P290" s="18"/>
      <c r="Q290" s="2"/>
      <c r="R290" s="2"/>
      <c r="AF290" s="14"/>
    </row>
    <row r="291" spans="1:32" customFormat="1" x14ac:dyDescent="0.25">
      <c r="A291" s="9"/>
      <c r="C291" s="14"/>
      <c r="E291" t="str">
        <f>IF(ISNA(VLOOKUP(C291,P:Q,2,0)),"",VLOOKUP(C291,P:Q,2,0))</f>
        <v/>
      </c>
      <c r="F291" s="15" t="str">
        <f>IF(ISNA(VLOOKUP(C291,P:R,3,0)),"",VLOOKUP(C291,P:R,3,0))</f>
        <v/>
      </c>
      <c r="G291">
        <f>ROUND(IF(D291&gt;0,0,ABS(D291)),2)</f>
        <v>0</v>
      </c>
      <c r="H291">
        <f>ROUND(IF(D291&gt;0,D291,),2)</f>
        <v>0</v>
      </c>
      <c r="K291" s="7"/>
      <c r="L291" s="9"/>
      <c r="M291" s="9"/>
      <c r="N291" s="7"/>
      <c r="P291" s="18"/>
      <c r="Q291" s="2"/>
      <c r="R291" s="2"/>
      <c r="AF291" s="14"/>
    </row>
    <row r="292" spans="1:32" customFormat="1" x14ac:dyDescent="0.25">
      <c r="A292" s="9"/>
      <c r="C292" s="14"/>
      <c r="E292" t="str">
        <f>IF(ISNA(VLOOKUP(C292,P:Q,2,0)),"",VLOOKUP(C292,P:Q,2,0))</f>
        <v/>
      </c>
      <c r="F292" s="15" t="str">
        <f>IF(ISNA(VLOOKUP(C292,P:R,3,0)),"",VLOOKUP(C292,P:R,3,0))</f>
        <v/>
      </c>
      <c r="G292">
        <f>ROUND(IF(D292&gt;0,0,ABS(D292)),2)</f>
        <v>0</v>
      </c>
      <c r="H292">
        <f>ROUND(IF(D292&gt;0,D292,),2)</f>
        <v>0</v>
      </c>
      <c r="K292" s="7"/>
      <c r="L292" s="9"/>
      <c r="M292" s="9"/>
      <c r="N292" s="7"/>
      <c r="P292" s="18"/>
      <c r="Q292" s="2"/>
      <c r="R292" s="2"/>
      <c r="AF292" s="14"/>
    </row>
    <row r="293" spans="1:32" customFormat="1" x14ac:dyDescent="0.25">
      <c r="A293" s="9"/>
      <c r="C293" s="14"/>
      <c r="E293" t="str">
        <f>IF(ISNA(VLOOKUP(C293,P:Q,2,0)),"",VLOOKUP(C293,P:Q,2,0))</f>
        <v/>
      </c>
      <c r="F293" s="15" t="str">
        <f>IF(ISNA(VLOOKUP(C293,P:R,3,0)),"",VLOOKUP(C293,P:R,3,0))</f>
        <v/>
      </c>
      <c r="G293">
        <f>ROUND(IF(D293&gt;0,0,ABS(D293)),2)</f>
        <v>0</v>
      </c>
      <c r="H293">
        <f>ROUND(IF(D293&gt;0,D293,),2)</f>
        <v>0</v>
      </c>
      <c r="K293" s="7"/>
      <c r="L293" s="9"/>
      <c r="M293" s="9"/>
      <c r="N293" s="7"/>
      <c r="P293" s="18"/>
      <c r="Q293" s="2"/>
      <c r="R293" s="2"/>
      <c r="AF293" s="14"/>
    </row>
    <row r="294" spans="1:32" customFormat="1" x14ac:dyDescent="0.25">
      <c r="A294" s="9"/>
      <c r="C294" s="14"/>
      <c r="E294" t="str">
        <f>IF(ISNA(VLOOKUP(C294,P:Q,2,0)),"",VLOOKUP(C294,P:Q,2,0))</f>
        <v/>
      </c>
      <c r="F294" s="15" t="str">
        <f>IF(ISNA(VLOOKUP(C294,P:R,3,0)),"",VLOOKUP(C294,P:R,3,0))</f>
        <v/>
      </c>
      <c r="G294">
        <f>ROUND(IF(D294&gt;0,0,ABS(D294)),2)</f>
        <v>0</v>
      </c>
      <c r="H294">
        <f>ROUND(IF(D294&gt;0,D294,),2)</f>
        <v>0</v>
      </c>
      <c r="K294" s="7"/>
      <c r="L294" s="9"/>
      <c r="M294" s="9"/>
      <c r="N294" s="7"/>
      <c r="P294" s="18"/>
      <c r="Q294" s="2"/>
      <c r="R294" s="2"/>
      <c r="AF294" s="14"/>
    </row>
    <row r="295" spans="1:32" customFormat="1" x14ac:dyDescent="0.25">
      <c r="A295" s="9"/>
      <c r="C295" s="14"/>
      <c r="E295" t="str">
        <f>IF(ISNA(VLOOKUP(C295,P:Q,2,0)),"",VLOOKUP(C295,P:Q,2,0))</f>
        <v/>
      </c>
      <c r="F295" s="15" t="str">
        <f>IF(ISNA(VLOOKUP(C295,P:R,3,0)),"",VLOOKUP(C295,P:R,3,0))</f>
        <v/>
      </c>
      <c r="G295">
        <f>ROUND(IF(D295&gt;0,0,ABS(D295)),2)</f>
        <v>0</v>
      </c>
      <c r="H295">
        <f>ROUND(IF(D295&gt;0,D295,),2)</f>
        <v>0</v>
      </c>
      <c r="K295" s="7"/>
      <c r="L295" s="9"/>
      <c r="M295" s="9"/>
      <c r="N295" s="7"/>
      <c r="P295" s="18"/>
      <c r="Q295" s="2"/>
      <c r="R295" s="2"/>
      <c r="AF295" s="14"/>
    </row>
    <row r="296" spans="1:32" customFormat="1" x14ac:dyDescent="0.25">
      <c r="A296" s="9"/>
      <c r="C296" s="14"/>
      <c r="E296" t="str">
        <f>IF(ISNA(VLOOKUP(C296,P:Q,2,0)),"",VLOOKUP(C296,P:Q,2,0))</f>
        <v/>
      </c>
      <c r="F296" s="15" t="str">
        <f>IF(ISNA(VLOOKUP(C296,P:R,3,0)),"",VLOOKUP(C296,P:R,3,0))</f>
        <v/>
      </c>
      <c r="G296">
        <f>ROUND(IF(D296&gt;0,0,ABS(D296)),2)</f>
        <v>0</v>
      </c>
      <c r="H296">
        <f>ROUND(IF(D296&gt;0,D296,),2)</f>
        <v>0</v>
      </c>
      <c r="K296" s="7"/>
      <c r="L296" s="9"/>
      <c r="M296" s="9"/>
      <c r="N296" s="7"/>
      <c r="P296" s="18"/>
      <c r="Q296" s="2"/>
      <c r="R296" s="2"/>
      <c r="AF296" s="14"/>
    </row>
    <row r="297" spans="1:32" customFormat="1" x14ac:dyDescent="0.25">
      <c r="A297" s="9"/>
      <c r="C297" s="14"/>
      <c r="E297" t="str">
        <f>IF(ISNA(VLOOKUP(C297,P:Q,2,0)),"",VLOOKUP(C297,P:Q,2,0))</f>
        <v/>
      </c>
      <c r="F297" s="15" t="str">
        <f>IF(ISNA(VLOOKUP(C297,P:R,3,0)),"",VLOOKUP(C297,P:R,3,0))</f>
        <v/>
      </c>
      <c r="G297">
        <f>ROUND(IF(D297&gt;0,0,ABS(D297)),2)</f>
        <v>0</v>
      </c>
      <c r="H297">
        <f>ROUND(IF(D297&gt;0,D297,),2)</f>
        <v>0</v>
      </c>
      <c r="K297" s="7"/>
      <c r="L297" s="9"/>
      <c r="M297" s="9"/>
      <c r="N297" s="7"/>
      <c r="P297" s="18"/>
      <c r="Q297" s="2"/>
      <c r="R297" s="2"/>
      <c r="AF297" s="14"/>
    </row>
    <row r="298" spans="1:32" customFormat="1" x14ac:dyDescent="0.25">
      <c r="A298" s="9"/>
      <c r="C298" s="14"/>
      <c r="E298" t="str">
        <f>IF(ISNA(VLOOKUP(C298,P:Q,2,0)),"",VLOOKUP(C298,P:Q,2,0))</f>
        <v/>
      </c>
      <c r="F298" s="15" t="str">
        <f>IF(ISNA(VLOOKUP(C298,P:R,3,0)),"",VLOOKUP(C298,P:R,3,0))</f>
        <v/>
      </c>
      <c r="G298">
        <f>ROUND(IF(D298&gt;0,0,ABS(D298)),2)</f>
        <v>0</v>
      </c>
      <c r="H298">
        <f>ROUND(IF(D298&gt;0,D298,),2)</f>
        <v>0</v>
      </c>
      <c r="K298" s="7"/>
      <c r="L298" s="9"/>
      <c r="M298" s="9"/>
      <c r="N298" s="7"/>
      <c r="P298" s="18"/>
      <c r="Q298" s="2"/>
      <c r="R298" s="2"/>
      <c r="AF298" s="14"/>
    </row>
    <row r="299" spans="1:32" customFormat="1" x14ac:dyDescent="0.25">
      <c r="A299" s="9"/>
      <c r="C299" s="14"/>
      <c r="E299" t="str">
        <f>IF(ISNA(VLOOKUP(C299,P:Q,2,0)),"",VLOOKUP(C299,P:Q,2,0))</f>
        <v/>
      </c>
      <c r="F299" s="15" t="str">
        <f>IF(ISNA(VLOOKUP(C299,P:R,3,0)),"",VLOOKUP(C299,P:R,3,0))</f>
        <v/>
      </c>
      <c r="G299">
        <f>ROUND(IF(D299&gt;0,0,ABS(D299)),2)</f>
        <v>0</v>
      </c>
      <c r="H299">
        <f>ROUND(IF(D299&gt;0,D299,),2)</f>
        <v>0</v>
      </c>
      <c r="K299" s="7"/>
      <c r="L299" s="9"/>
      <c r="M299" s="9"/>
      <c r="N299" s="7"/>
      <c r="P299" s="18"/>
      <c r="Q299" s="2"/>
      <c r="R299" s="2"/>
      <c r="AF299" s="14"/>
    </row>
    <row r="300" spans="1:32" customFormat="1" x14ac:dyDescent="0.25">
      <c r="A300" s="9"/>
      <c r="C300" s="14"/>
      <c r="E300" t="str">
        <f>IF(ISNA(VLOOKUP(C300,P:Q,2,0)),"",VLOOKUP(C300,P:Q,2,0))</f>
        <v/>
      </c>
      <c r="F300" s="15" t="str">
        <f>IF(ISNA(VLOOKUP(C300,P:R,3,0)),"",VLOOKUP(C300,P:R,3,0))</f>
        <v/>
      </c>
      <c r="G300">
        <f>ROUND(IF(D300&gt;0,0,ABS(D300)),2)</f>
        <v>0</v>
      </c>
      <c r="H300">
        <f>ROUND(IF(D300&gt;0,D300,),2)</f>
        <v>0</v>
      </c>
      <c r="K300" s="7"/>
      <c r="L300" s="9"/>
      <c r="M300" s="9"/>
      <c r="N300" s="7"/>
      <c r="P300" s="18"/>
      <c r="Q300" s="2"/>
      <c r="R300" s="2"/>
      <c r="AF300" s="14"/>
    </row>
    <row r="301" spans="1:32" customFormat="1" x14ac:dyDescent="0.25">
      <c r="A301" s="9"/>
      <c r="C301" s="14"/>
      <c r="E301" t="str">
        <f>IF(ISNA(VLOOKUP(C301,P:Q,2,0)),"",VLOOKUP(C301,P:Q,2,0))</f>
        <v/>
      </c>
      <c r="F301" s="15" t="str">
        <f>IF(ISNA(VLOOKUP(C301,P:R,3,0)),"",VLOOKUP(C301,P:R,3,0))</f>
        <v/>
      </c>
      <c r="G301">
        <f>ROUND(IF(D301&gt;0,0,ABS(D301)),2)</f>
        <v>0</v>
      </c>
      <c r="H301">
        <f>ROUND(IF(D301&gt;0,D301,),2)</f>
        <v>0</v>
      </c>
      <c r="K301" s="7"/>
      <c r="L301" s="9"/>
      <c r="M301" s="9"/>
      <c r="N301" s="7"/>
      <c r="P301" s="18"/>
      <c r="Q301" s="2"/>
      <c r="R301" s="2"/>
      <c r="AF301" s="14"/>
    </row>
    <row r="302" spans="1:32" customFormat="1" x14ac:dyDescent="0.25">
      <c r="A302" s="9"/>
      <c r="C302" s="14"/>
      <c r="E302" t="str">
        <f>IF(ISNA(VLOOKUP(C302,P:Q,2,0)),"",VLOOKUP(C302,P:Q,2,0))</f>
        <v/>
      </c>
      <c r="F302" s="15" t="str">
        <f>IF(ISNA(VLOOKUP(C302,P:R,3,0)),"",VLOOKUP(C302,P:R,3,0))</f>
        <v/>
      </c>
      <c r="G302">
        <f>ROUND(IF(D302&gt;0,0,ABS(D302)),2)</f>
        <v>0</v>
      </c>
      <c r="H302">
        <f>ROUND(IF(D302&gt;0,D302,),2)</f>
        <v>0</v>
      </c>
      <c r="K302" s="7"/>
      <c r="L302" s="9"/>
      <c r="M302" s="9"/>
      <c r="N302" s="7"/>
      <c r="P302" s="18"/>
      <c r="Q302" s="2"/>
      <c r="R302" s="2"/>
      <c r="AF302" s="14"/>
    </row>
    <row r="303" spans="1:32" customFormat="1" x14ac:dyDescent="0.25">
      <c r="A303" s="9"/>
      <c r="C303" s="14"/>
      <c r="E303" t="str">
        <f>IF(ISNA(VLOOKUP(C303,P:Q,2,0)),"",VLOOKUP(C303,P:Q,2,0))</f>
        <v/>
      </c>
      <c r="F303" s="15" t="str">
        <f>IF(ISNA(VLOOKUP(C303,P:R,3,0)),"",VLOOKUP(C303,P:R,3,0))</f>
        <v/>
      </c>
      <c r="G303">
        <f>ROUND(IF(D303&gt;0,0,ABS(D303)),2)</f>
        <v>0</v>
      </c>
      <c r="H303">
        <f>ROUND(IF(D303&gt;0,D303,),2)</f>
        <v>0</v>
      </c>
      <c r="K303" s="7"/>
      <c r="L303" s="9"/>
      <c r="M303" s="9"/>
      <c r="N303" s="7"/>
      <c r="P303" s="18"/>
      <c r="Q303" s="2"/>
      <c r="R303" s="2"/>
      <c r="AF303" s="14"/>
    </row>
    <row r="304" spans="1:32" customFormat="1" x14ac:dyDescent="0.25">
      <c r="A304" s="9"/>
      <c r="C304" s="14"/>
      <c r="E304" t="str">
        <f>IF(ISNA(VLOOKUP(C304,P:Q,2,0)),"",VLOOKUP(C304,P:Q,2,0))</f>
        <v/>
      </c>
      <c r="F304" s="15" t="str">
        <f>IF(ISNA(VLOOKUP(C304,P:R,3,0)),"",VLOOKUP(C304,P:R,3,0))</f>
        <v/>
      </c>
      <c r="G304">
        <f>ROUND(IF(D304&gt;0,0,ABS(D304)),2)</f>
        <v>0</v>
      </c>
      <c r="H304">
        <f>ROUND(IF(D304&gt;0,D304,),2)</f>
        <v>0</v>
      </c>
      <c r="K304" s="7"/>
      <c r="L304" s="9"/>
      <c r="M304" s="9"/>
      <c r="N304" s="7"/>
      <c r="P304" s="18"/>
      <c r="Q304" s="2"/>
      <c r="R304" s="2"/>
      <c r="AF304" s="14"/>
    </row>
    <row r="305" spans="1:32" customFormat="1" x14ac:dyDescent="0.25">
      <c r="A305" s="9"/>
      <c r="C305" s="14"/>
      <c r="E305" t="str">
        <f>IF(ISNA(VLOOKUP(C305,P:Q,2,0)),"",VLOOKUP(C305,P:Q,2,0))</f>
        <v/>
      </c>
      <c r="F305" s="15" t="str">
        <f>IF(ISNA(VLOOKUP(C305,P:R,3,0)),"",VLOOKUP(C305,P:R,3,0))</f>
        <v/>
      </c>
      <c r="G305">
        <f>ROUND(IF(D305&gt;0,0,ABS(D305)),2)</f>
        <v>0</v>
      </c>
      <c r="H305">
        <f>ROUND(IF(D305&gt;0,D305,),2)</f>
        <v>0</v>
      </c>
      <c r="K305" s="7"/>
      <c r="L305" s="9"/>
      <c r="M305" s="9"/>
      <c r="N305" s="7"/>
      <c r="P305" s="18"/>
      <c r="Q305" s="2"/>
      <c r="R305" s="2"/>
      <c r="AF305" s="14"/>
    </row>
    <row r="306" spans="1:32" customFormat="1" x14ac:dyDescent="0.25">
      <c r="A306" s="9"/>
      <c r="C306" s="14"/>
      <c r="E306" t="str">
        <f>IF(ISNA(VLOOKUP(C306,P:Q,2,0)),"",VLOOKUP(C306,P:Q,2,0))</f>
        <v/>
      </c>
      <c r="F306" s="15" t="str">
        <f>IF(ISNA(VLOOKUP(C306,P:R,3,0)),"",VLOOKUP(C306,P:R,3,0))</f>
        <v/>
      </c>
      <c r="G306">
        <f>ROUND(IF(D306&gt;0,0,ABS(D306)),2)</f>
        <v>0</v>
      </c>
      <c r="H306">
        <f>ROUND(IF(D306&gt;0,D306,),2)</f>
        <v>0</v>
      </c>
      <c r="K306" s="7"/>
      <c r="L306" s="9"/>
      <c r="M306" s="9"/>
      <c r="N306" s="7"/>
      <c r="P306" s="18"/>
      <c r="Q306" s="2"/>
      <c r="R306" s="2"/>
      <c r="AF306" s="14"/>
    </row>
    <row r="307" spans="1:32" customFormat="1" x14ac:dyDescent="0.25">
      <c r="A307" s="9"/>
      <c r="C307" s="14"/>
      <c r="E307" t="str">
        <f>IF(ISNA(VLOOKUP(C307,P:Q,2,0)),"",VLOOKUP(C307,P:Q,2,0))</f>
        <v/>
      </c>
      <c r="F307" s="15" t="str">
        <f>IF(ISNA(VLOOKUP(C307,P:R,3,0)),"",VLOOKUP(C307,P:R,3,0))</f>
        <v/>
      </c>
      <c r="G307">
        <f>ROUND(IF(D307&gt;0,0,ABS(D307)),2)</f>
        <v>0</v>
      </c>
      <c r="H307">
        <f>ROUND(IF(D307&gt;0,D307,),2)</f>
        <v>0</v>
      </c>
      <c r="K307" s="7"/>
      <c r="L307" s="9"/>
      <c r="M307" s="9"/>
      <c r="N307" s="7"/>
      <c r="P307" s="18"/>
      <c r="Q307" s="2"/>
      <c r="R307" s="2"/>
      <c r="AF307" s="14"/>
    </row>
    <row r="308" spans="1:32" customFormat="1" x14ac:dyDescent="0.25">
      <c r="A308" s="9"/>
      <c r="C308" s="14"/>
      <c r="E308" t="str">
        <f>IF(ISNA(VLOOKUP(C308,P:Q,2,0)),"",VLOOKUP(C308,P:Q,2,0))</f>
        <v/>
      </c>
      <c r="F308" s="15" t="str">
        <f>IF(ISNA(VLOOKUP(C308,P:R,3,0)),"",VLOOKUP(C308,P:R,3,0))</f>
        <v/>
      </c>
      <c r="G308">
        <f>ROUND(IF(D308&gt;0,0,ABS(D308)),2)</f>
        <v>0</v>
      </c>
      <c r="H308">
        <f>ROUND(IF(D308&gt;0,D308,),2)</f>
        <v>0</v>
      </c>
      <c r="K308" s="7"/>
      <c r="L308" s="9"/>
      <c r="M308" s="9"/>
      <c r="N308" s="7"/>
      <c r="P308" s="18"/>
      <c r="Q308" s="2"/>
      <c r="R308" s="2"/>
      <c r="AF308" s="14"/>
    </row>
    <row r="309" spans="1:32" customFormat="1" x14ac:dyDescent="0.25">
      <c r="A309" s="9"/>
      <c r="C309" s="14"/>
      <c r="E309" t="str">
        <f>IF(ISNA(VLOOKUP(C309,P:Q,2,0)),"",VLOOKUP(C309,P:Q,2,0))</f>
        <v/>
      </c>
      <c r="F309" s="15" t="str">
        <f>IF(ISNA(VLOOKUP(C309,P:R,3,0)),"",VLOOKUP(C309,P:R,3,0))</f>
        <v/>
      </c>
      <c r="G309">
        <f>ROUND(IF(D309&gt;0,0,ABS(D309)),2)</f>
        <v>0</v>
      </c>
      <c r="H309">
        <f>ROUND(IF(D309&gt;0,D309,),2)</f>
        <v>0</v>
      </c>
      <c r="K309" s="7"/>
      <c r="L309" s="9"/>
      <c r="M309" s="9"/>
      <c r="N309" s="7"/>
      <c r="P309" s="18"/>
      <c r="Q309" s="2"/>
      <c r="R309" s="2"/>
      <c r="AF309" s="14"/>
    </row>
    <row r="310" spans="1:32" customFormat="1" x14ac:dyDescent="0.25">
      <c r="A310" s="9"/>
      <c r="C310" s="14"/>
      <c r="E310" t="str">
        <f>IF(ISNA(VLOOKUP(C310,P:Q,2,0)),"",VLOOKUP(C310,P:Q,2,0))</f>
        <v/>
      </c>
      <c r="F310" s="15" t="str">
        <f>IF(ISNA(VLOOKUP(C310,P:R,3,0)),"",VLOOKUP(C310,P:R,3,0))</f>
        <v/>
      </c>
      <c r="G310">
        <f>ROUND(IF(D310&gt;0,0,ABS(D310)),2)</f>
        <v>0</v>
      </c>
      <c r="H310">
        <f>ROUND(IF(D310&gt;0,D310,),2)</f>
        <v>0</v>
      </c>
      <c r="K310" s="7"/>
      <c r="L310" s="9"/>
      <c r="M310" s="9"/>
      <c r="N310" s="7"/>
      <c r="P310" s="18"/>
      <c r="Q310" s="2"/>
      <c r="R310" s="2"/>
      <c r="AF310" s="14"/>
    </row>
    <row r="311" spans="1:32" customFormat="1" x14ac:dyDescent="0.25">
      <c r="A311" s="9"/>
      <c r="C311" s="14"/>
      <c r="E311" t="str">
        <f>IF(ISNA(VLOOKUP(C311,P:Q,2,0)),"",VLOOKUP(C311,P:Q,2,0))</f>
        <v/>
      </c>
      <c r="F311" s="15" t="str">
        <f>IF(ISNA(VLOOKUP(C311,P:R,3,0)),"",VLOOKUP(C311,P:R,3,0))</f>
        <v/>
      </c>
      <c r="G311">
        <f>ROUND(IF(D311&gt;0,0,ABS(D311)),2)</f>
        <v>0</v>
      </c>
      <c r="H311">
        <f>ROUND(IF(D311&gt;0,D311,),2)</f>
        <v>0</v>
      </c>
      <c r="K311" s="7"/>
      <c r="L311" s="9"/>
      <c r="M311" s="9"/>
      <c r="N311" s="7"/>
      <c r="P311" s="18"/>
      <c r="Q311" s="2"/>
      <c r="R311" s="2"/>
      <c r="AF311" s="14"/>
    </row>
    <row r="312" spans="1:32" customFormat="1" x14ac:dyDescent="0.25">
      <c r="A312" s="9"/>
      <c r="C312" s="14"/>
      <c r="E312" t="str">
        <f>IF(ISNA(VLOOKUP(C312,P:Q,2,0)),"",VLOOKUP(C312,P:Q,2,0))</f>
        <v/>
      </c>
      <c r="F312" s="15" t="str">
        <f>IF(ISNA(VLOOKUP(C312,P:R,3,0)),"",VLOOKUP(C312,P:R,3,0))</f>
        <v/>
      </c>
      <c r="G312">
        <f>ROUND(IF(D312&gt;0,0,ABS(D312)),2)</f>
        <v>0</v>
      </c>
      <c r="H312">
        <f>ROUND(IF(D312&gt;0,D312,),2)</f>
        <v>0</v>
      </c>
      <c r="K312" s="7"/>
      <c r="L312" s="9"/>
      <c r="M312" s="9"/>
      <c r="N312" s="7"/>
      <c r="P312" s="18"/>
      <c r="Q312" s="2"/>
      <c r="R312" s="2"/>
      <c r="AF312" s="14"/>
    </row>
    <row r="313" spans="1:32" customFormat="1" x14ac:dyDescent="0.25">
      <c r="A313" s="9"/>
      <c r="C313" s="14"/>
      <c r="E313" t="str">
        <f>IF(ISNA(VLOOKUP(C313,P:Q,2,0)),"",VLOOKUP(C313,P:Q,2,0))</f>
        <v/>
      </c>
      <c r="F313" s="15" t="str">
        <f>IF(ISNA(VLOOKUP(C313,P:R,3,0)),"",VLOOKUP(C313,P:R,3,0))</f>
        <v/>
      </c>
      <c r="G313">
        <f>ROUND(IF(D313&gt;0,0,ABS(D313)),2)</f>
        <v>0</v>
      </c>
      <c r="H313">
        <f>ROUND(IF(D313&gt;0,D313,),2)</f>
        <v>0</v>
      </c>
      <c r="K313" s="7"/>
      <c r="L313" s="9"/>
      <c r="M313" s="9"/>
      <c r="N313" s="7"/>
      <c r="P313" s="18"/>
      <c r="Q313" s="2"/>
      <c r="R313" s="2"/>
      <c r="AF313" s="14"/>
    </row>
    <row r="314" spans="1:32" customFormat="1" x14ac:dyDescent="0.25">
      <c r="A314" s="9"/>
      <c r="C314" s="14"/>
      <c r="E314" t="str">
        <f>IF(ISNA(VLOOKUP(C314,P:Q,2,0)),"",VLOOKUP(C314,P:Q,2,0))</f>
        <v/>
      </c>
      <c r="F314" s="15" t="str">
        <f>IF(ISNA(VLOOKUP(C314,P:R,3,0)),"",VLOOKUP(C314,P:R,3,0))</f>
        <v/>
      </c>
      <c r="G314">
        <f>ROUND(IF(D314&gt;0,0,ABS(D314)),2)</f>
        <v>0</v>
      </c>
      <c r="H314">
        <f>ROUND(IF(D314&gt;0,D314,),2)</f>
        <v>0</v>
      </c>
      <c r="K314" s="7"/>
      <c r="L314" s="9"/>
      <c r="M314" s="9"/>
      <c r="N314" s="7"/>
      <c r="P314" s="18"/>
      <c r="Q314" s="2"/>
      <c r="R314" s="2"/>
      <c r="AF314" s="14"/>
    </row>
    <row r="315" spans="1:32" customFormat="1" x14ac:dyDescent="0.25">
      <c r="A315" s="9"/>
      <c r="C315" s="14"/>
      <c r="E315" t="str">
        <f>IF(ISNA(VLOOKUP(C315,P:Q,2,0)),"",VLOOKUP(C315,P:Q,2,0))</f>
        <v/>
      </c>
      <c r="F315" s="15" t="str">
        <f>IF(ISNA(VLOOKUP(C315,P:R,3,0)),"",VLOOKUP(C315,P:R,3,0))</f>
        <v/>
      </c>
      <c r="G315">
        <f>ROUND(IF(D315&gt;0,0,ABS(D315)),2)</f>
        <v>0</v>
      </c>
      <c r="H315">
        <f>ROUND(IF(D315&gt;0,D315,),2)</f>
        <v>0</v>
      </c>
      <c r="K315" s="7"/>
      <c r="L315" s="9"/>
      <c r="M315" s="9"/>
      <c r="N315" s="7"/>
      <c r="P315" s="18"/>
      <c r="Q315" s="2"/>
      <c r="R315" s="2"/>
      <c r="AF315" s="14"/>
    </row>
    <row r="316" spans="1:32" customFormat="1" x14ac:dyDescent="0.25">
      <c r="A316" s="9"/>
      <c r="C316" s="14"/>
      <c r="E316" t="str">
        <f>IF(ISNA(VLOOKUP(C316,P:Q,2,0)),"",VLOOKUP(C316,P:Q,2,0))</f>
        <v/>
      </c>
      <c r="F316" s="15" t="str">
        <f>IF(ISNA(VLOOKUP(C316,P:R,3,0)),"",VLOOKUP(C316,P:R,3,0))</f>
        <v/>
      </c>
      <c r="G316">
        <f>ROUND(IF(D316&gt;0,0,ABS(D316)),2)</f>
        <v>0</v>
      </c>
      <c r="H316">
        <f>ROUND(IF(D316&gt;0,D316,),2)</f>
        <v>0</v>
      </c>
      <c r="K316" s="7"/>
      <c r="L316" s="9"/>
      <c r="M316" s="9"/>
      <c r="N316" s="7"/>
      <c r="P316" s="18"/>
      <c r="Q316" s="2"/>
      <c r="R316" s="2"/>
      <c r="AF316" s="14"/>
    </row>
    <row r="317" spans="1:32" customFormat="1" x14ac:dyDescent="0.25">
      <c r="A317" s="9"/>
      <c r="C317" s="14"/>
      <c r="E317" t="str">
        <f>IF(ISNA(VLOOKUP(C317,P:Q,2,0)),"",VLOOKUP(C317,P:Q,2,0))</f>
        <v/>
      </c>
      <c r="F317" s="15" t="str">
        <f>IF(ISNA(VLOOKUP(C317,P:R,3,0)),"",VLOOKUP(C317,P:R,3,0))</f>
        <v/>
      </c>
      <c r="G317">
        <f>ROUND(IF(D317&gt;0,0,ABS(D317)),2)</f>
        <v>0</v>
      </c>
      <c r="H317">
        <f>ROUND(IF(D317&gt;0,D317,),2)</f>
        <v>0</v>
      </c>
      <c r="K317" s="7"/>
      <c r="L317" s="9"/>
      <c r="M317" s="9"/>
      <c r="N317" s="7"/>
      <c r="P317" s="18"/>
      <c r="Q317" s="2"/>
      <c r="R317" s="2"/>
      <c r="AF317" s="14"/>
    </row>
    <row r="318" spans="1:32" customFormat="1" x14ac:dyDescent="0.25">
      <c r="A318" s="9"/>
      <c r="C318" s="14"/>
      <c r="E318" t="str">
        <f>IF(ISNA(VLOOKUP(C318,P:Q,2,0)),"",VLOOKUP(C318,P:Q,2,0))</f>
        <v/>
      </c>
      <c r="F318" s="15" t="str">
        <f>IF(ISNA(VLOOKUP(C318,P:R,3,0)),"",VLOOKUP(C318,P:R,3,0))</f>
        <v/>
      </c>
      <c r="G318">
        <f>ROUND(IF(D318&gt;0,0,ABS(D318)),2)</f>
        <v>0</v>
      </c>
      <c r="H318">
        <f>ROUND(IF(D318&gt;0,D318,),2)</f>
        <v>0</v>
      </c>
      <c r="K318" s="7"/>
      <c r="L318" s="9"/>
      <c r="M318" s="9"/>
      <c r="N318" s="7"/>
      <c r="P318" s="18"/>
      <c r="Q318" s="2"/>
      <c r="R318" s="2"/>
      <c r="AF318" s="14"/>
    </row>
    <row r="319" spans="1:32" customFormat="1" x14ac:dyDescent="0.25">
      <c r="A319" s="9"/>
      <c r="C319" s="14"/>
      <c r="E319" t="str">
        <f>IF(ISNA(VLOOKUP(C319,P:Q,2,0)),"",VLOOKUP(C319,P:Q,2,0))</f>
        <v/>
      </c>
      <c r="F319" s="15" t="str">
        <f>IF(ISNA(VLOOKUP(C319,P:R,3,0)),"",VLOOKUP(C319,P:R,3,0))</f>
        <v/>
      </c>
      <c r="G319">
        <f>ROUND(IF(D319&gt;0,0,ABS(D319)),2)</f>
        <v>0</v>
      </c>
      <c r="H319">
        <f>ROUND(IF(D319&gt;0,D319,),2)</f>
        <v>0</v>
      </c>
      <c r="K319" s="7"/>
      <c r="L319" s="9"/>
      <c r="M319" s="9"/>
      <c r="N319" s="7"/>
      <c r="P319" s="18"/>
      <c r="Q319" s="2"/>
      <c r="R319" s="2"/>
      <c r="AF319" s="14"/>
    </row>
    <row r="320" spans="1:32" customFormat="1" x14ac:dyDescent="0.25">
      <c r="A320" s="9"/>
      <c r="C320" s="14"/>
      <c r="E320" t="str">
        <f>IF(ISNA(VLOOKUP(C320,P:Q,2,0)),"",VLOOKUP(C320,P:Q,2,0))</f>
        <v/>
      </c>
      <c r="F320" s="15" t="str">
        <f>IF(ISNA(VLOOKUP(C320,P:R,3,0)),"",VLOOKUP(C320,P:R,3,0))</f>
        <v/>
      </c>
      <c r="G320">
        <f>ROUND(IF(D320&gt;0,0,ABS(D320)),2)</f>
        <v>0</v>
      </c>
      <c r="H320">
        <f>ROUND(IF(D320&gt;0,D320,),2)</f>
        <v>0</v>
      </c>
      <c r="K320" s="7"/>
      <c r="L320" s="9"/>
      <c r="M320" s="9"/>
      <c r="N320" s="7"/>
      <c r="P320" s="18"/>
      <c r="Q320" s="2"/>
      <c r="R320" s="2"/>
      <c r="AF320" s="14"/>
    </row>
    <row r="321" spans="1:32" customFormat="1" x14ac:dyDescent="0.25">
      <c r="A321" s="9"/>
      <c r="C321" s="14"/>
      <c r="E321" t="str">
        <f>IF(ISNA(VLOOKUP(C321,P:Q,2,0)),"",VLOOKUP(C321,P:Q,2,0))</f>
        <v/>
      </c>
      <c r="F321" s="15" t="str">
        <f>IF(ISNA(VLOOKUP(C321,P:R,3,0)),"",VLOOKUP(C321,P:R,3,0))</f>
        <v/>
      </c>
      <c r="G321">
        <f>ROUND(IF(D321&gt;0,0,ABS(D321)),2)</f>
        <v>0</v>
      </c>
      <c r="H321">
        <f>ROUND(IF(D321&gt;0,D321,),2)</f>
        <v>0</v>
      </c>
      <c r="K321" s="7"/>
      <c r="L321" s="9"/>
      <c r="M321" s="9"/>
      <c r="N321" s="7"/>
      <c r="P321" s="18"/>
      <c r="Q321" s="2"/>
      <c r="R321" s="2"/>
      <c r="AF321" s="14"/>
    </row>
    <row r="322" spans="1:32" customFormat="1" x14ac:dyDescent="0.25">
      <c r="A322" s="9"/>
      <c r="C322" s="14"/>
      <c r="E322" t="str">
        <f>IF(ISNA(VLOOKUP(C322,P:Q,2,0)),"",VLOOKUP(C322,P:Q,2,0))</f>
        <v/>
      </c>
      <c r="F322" s="15" t="str">
        <f>IF(ISNA(VLOOKUP(C322,P:R,3,0)),"",VLOOKUP(C322,P:R,3,0))</f>
        <v/>
      </c>
      <c r="G322">
        <f>ROUND(IF(D322&gt;0,0,ABS(D322)),2)</f>
        <v>0</v>
      </c>
      <c r="H322">
        <f>ROUND(IF(D322&gt;0,D322,),2)</f>
        <v>0</v>
      </c>
      <c r="K322" s="7"/>
      <c r="L322" s="9"/>
      <c r="M322" s="9"/>
      <c r="N322" s="7"/>
      <c r="P322" s="18"/>
      <c r="Q322" s="2"/>
      <c r="R322" s="2"/>
      <c r="AF322" s="14"/>
    </row>
    <row r="323" spans="1:32" customFormat="1" x14ac:dyDescent="0.25">
      <c r="A323" s="9"/>
      <c r="C323" s="14"/>
      <c r="E323" t="str">
        <f>IF(ISNA(VLOOKUP(C323,P:Q,2,0)),"",VLOOKUP(C323,P:Q,2,0))</f>
        <v/>
      </c>
      <c r="F323" s="15" t="str">
        <f>IF(ISNA(VLOOKUP(C323,P:R,3,0)),"",VLOOKUP(C323,P:R,3,0))</f>
        <v/>
      </c>
      <c r="G323">
        <f>ROUND(IF(D323&gt;0,0,ABS(D323)),2)</f>
        <v>0</v>
      </c>
      <c r="H323">
        <f>ROUND(IF(D323&gt;0,D323,),2)</f>
        <v>0</v>
      </c>
      <c r="K323" s="7"/>
      <c r="L323" s="9"/>
      <c r="M323" s="9"/>
      <c r="N323" s="7"/>
      <c r="P323" s="18"/>
      <c r="Q323" s="2"/>
      <c r="R323" s="2"/>
      <c r="AF323" s="14"/>
    </row>
    <row r="324" spans="1:32" customFormat="1" x14ac:dyDescent="0.25">
      <c r="A324" s="9"/>
      <c r="C324" s="14"/>
      <c r="E324" t="str">
        <f>IF(ISNA(VLOOKUP(C324,P:Q,2,0)),"",VLOOKUP(C324,P:Q,2,0))</f>
        <v/>
      </c>
      <c r="F324" s="15" t="str">
        <f>IF(ISNA(VLOOKUP(C324,P:R,3,0)),"",VLOOKUP(C324,P:R,3,0))</f>
        <v/>
      </c>
      <c r="G324">
        <f>ROUND(IF(D324&gt;0,0,ABS(D324)),2)</f>
        <v>0</v>
      </c>
      <c r="H324">
        <f>ROUND(IF(D324&gt;0,D324,),2)</f>
        <v>0</v>
      </c>
      <c r="K324" s="7"/>
      <c r="L324" s="9"/>
      <c r="M324" s="9"/>
      <c r="N324" s="7"/>
      <c r="P324" s="18"/>
      <c r="Q324" s="2"/>
      <c r="R324" s="2"/>
      <c r="AF324" s="14"/>
    </row>
    <row r="325" spans="1:32" customFormat="1" x14ac:dyDescent="0.25">
      <c r="A325" s="9"/>
      <c r="C325" s="14"/>
      <c r="E325" t="str">
        <f>IF(ISNA(VLOOKUP(C325,P:Q,2,0)),"",VLOOKUP(C325,P:Q,2,0))</f>
        <v/>
      </c>
      <c r="F325" s="15" t="str">
        <f>IF(ISNA(VLOOKUP(C325,P:R,3,0)),"",VLOOKUP(C325,P:R,3,0))</f>
        <v/>
      </c>
      <c r="G325">
        <f>ROUND(IF(D325&gt;0,0,ABS(D325)),2)</f>
        <v>0</v>
      </c>
      <c r="H325">
        <f>ROUND(IF(D325&gt;0,D325,),2)</f>
        <v>0</v>
      </c>
      <c r="K325" s="7"/>
      <c r="L325" s="9"/>
      <c r="M325" s="9"/>
      <c r="N325" s="7"/>
      <c r="P325" s="18"/>
      <c r="Q325" s="2"/>
      <c r="R325" s="2"/>
      <c r="AF325" s="14"/>
    </row>
    <row r="326" spans="1:32" customFormat="1" x14ac:dyDescent="0.25">
      <c r="A326" s="9"/>
      <c r="C326" s="14"/>
      <c r="E326" t="str">
        <f>IF(ISNA(VLOOKUP(C326,P:Q,2,0)),"",VLOOKUP(C326,P:Q,2,0))</f>
        <v/>
      </c>
      <c r="F326" s="15" t="str">
        <f>IF(ISNA(VLOOKUP(C326,P:R,3,0)),"",VLOOKUP(C326,P:R,3,0))</f>
        <v/>
      </c>
      <c r="G326">
        <f>ROUND(IF(D326&gt;0,0,ABS(D326)),2)</f>
        <v>0</v>
      </c>
      <c r="H326">
        <f>ROUND(IF(D326&gt;0,D326,),2)</f>
        <v>0</v>
      </c>
      <c r="K326" s="7"/>
      <c r="L326" s="9"/>
      <c r="M326" s="9"/>
      <c r="N326" s="7"/>
      <c r="P326" s="18"/>
      <c r="Q326" s="2"/>
      <c r="R326" s="2"/>
      <c r="AF326" s="14"/>
    </row>
    <row r="327" spans="1:32" customFormat="1" x14ac:dyDescent="0.25">
      <c r="A327" s="9"/>
      <c r="C327" s="14"/>
      <c r="E327" t="str">
        <f>IF(ISNA(VLOOKUP(C327,P:Q,2,0)),"",VLOOKUP(C327,P:Q,2,0))</f>
        <v/>
      </c>
      <c r="F327" s="15" t="str">
        <f>IF(ISNA(VLOOKUP(C327,P:R,3,0)),"",VLOOKUP(C327,P:R,3,0))</f>
        <v/>
      </c>
      <c r="G327">
        <f>ROUND(IF(D327&gt;0,0,ABS(D327)),2)</f>
        <v>0</v>
      </c>
      <c r="H327">
        <f>ROUND(IF(D327&gt;0,D327,),2)</f>
        <v>0</v>
      </c>
      <c r="K327" s="7"/>
      <c r="L327" s="9"/>
      <c r="M327" s="9"/>
      <c r="N327" s="7"/>
      <c r="P327" s="18"/>
      <c r="Q327" s="2"/>
      <c r="R327" s="2"/>
      <c r="AF327" s="14"/>
    </row>
    <row r="328" spans="1:32" customFormat="1" x14ac:dyDescent="0.25">
      <c r="A328" s="9"/>
      <c r="C328" s="14"/>
      <c r="E328" t="str">
        <f>IF(ISNA(VLOOKUP(C328,P:Q,2,0)),"",VLOOKUP(C328,P:Q,2,0))</f>
        <v/>
      </c>
      <c r="F328" s="15" t="str">
        <f>IF(ISNA(VLOOKUP(C328,P:R,3,0)),"",VLOOKUP(C328,P:R,3,0))</f>
        <v/>
      </c>
      <c r="G328">
        <f>ROUND(IF(D328&gt;0,0,ABS(D328)),2)</f>
        <v>0</v>
      </c>
      <c r="H328">
        <f>ROUND(IF(D328&gt;0,D328,),2)</f>
        <v>0</v>
      </c>
      <c r="K328" s="7"/>
      <c r="L328" s="9"/>
      <c r="M328" s="9"/>
      <c r="N328" s="7"/>
      <c r="P328" s="18"/>
      <c r="Q328" s="2"/>
      <c r="R328" s="2"/>
      <c r="AF328" s="14"/>
    </row>
    <row r="329" spans="1:32" customFormat="1" x14ac:dyDescent="0.25">
      <c r="A329" s="9"/>
      <c r="C329" s="14"/>
      <c r="E329" t="str">
        <f>IF(ISNA(VLOOKUP(C329,P:Q,2,0)),"",VLOOKUP(C329,P:Q,2,0))</f>
        <v/>
      </c>
      <c r="F329" s="15" t="str">
        <f>IF(ISNA(VLOOKUP(C329,P:R,3,0)),"",VLOOKUP(C329,P:R,3,0))</f>
        <v/>
      </c>
      <c r="G329">
        <f>ROUND(IF(D329&gt;0,0,ABS(D329)),2)</f>
        <v>0</v>
      </c>
      <c r="H329">
        <f>ROUND(IF(D329&gt;0,D329,),2)</f>
        <v>0</v>
      </c>
      <c r="K329" s="7"/>
      <c r="L329" s="9"/>
      <c r="M329" s="9"/>
      <c r="N329" s="7"/>
      <c r="P329" s="18"/>
      <c r="Q329" s="2"/>
      <c r="R329" s="2"/>
      <c r="AF329" s="14"/>
    </row>
    <row r="330" spans="1:32" customFormat="1" x14ac:dyDescent="0.25">
      <c r="A330" s="9"/>
      <c r="C330" s="14"/>
      <c r="E330" t="str">
        <f>IF(ISNA(VLOOKUP(C330,P:Q,2,0)),"",VLOOKUP(C330,P:Q,2,0))</f>
        <v/>
      </c>
      <c r="F330" s="15" t="str">
        <f>IF(ISNA(VLOOKUP(C330,P:R,3,0)),"",VLOOKUP(C330,P:R,3,0))</f>
        <v/>
      </c>
      <c r="G330">
        <f>ROUND(IF(D330&gt;0,0,ABS(D330)),2)</f>
        <v>0</v>
      </c>
      <c r="H330">
        <f>ROUND(IF(D330&gt;0,D330,),2)</f>
        <v>0</v>
      </c>
      <c r="K330" s="7"/>
      <c r="L330" s="9"/>
      <c r="M330" s="9"/>
      <c r="N330" s="7"/>
      <c r="P330" s="18"/>
      <c r="Q330" s="2"/>
      <c r="R330" s="2"/>
      <c r="AF330" s="14"/>
    </row>
    <row r="331" spans="1:32" customFormat="1" x14ac:dyDescent="0.25">
      <c r="A331" s="9"/>
      <c r="C331" s="14"/>
      <c r="E331" t="str">
        <f>IF(ISNA(VLOOKUP(C331,P:Q,2,0)),"",VLOOKUP(C331,P:Q,2,0))</f>
        <v/>
      </c>
      <c r="F331" s="15" t="str">
        <f>IF(ISNA(VLOOKUP(C331,P:R,3,0)),"",VLOOKUP(C331,P:R,3,0))</f>
        <v/>
      </c>
      <c r="G331">
        <f>ROUND(IF(D331&gt;0,0,ABS(D331)),2)</f>
        <v>0</v>
      </c>
      <c r="H331">
        <f>ROUND(IF(D331&gt;0,D331,),2)</f>
        <v>0</v>
      </c>
      <c r="K331" s="7"/>
      <c r="L331" s="9"/>
      <c r="M331" s="9"/>
      <c r="N331" s="7"/>
      <c r="P331" s="18"/>
      <c r="Q331" s="2"/>
      <c r="R331" s="2"/>
      <c r="AF331" s="14"/>
    </row>
    <row r="332" spans="1:32" customFormat="1" x14ac:dyDescent="0.25">
      <c r="A332" s="9"/>
      <c r="C332" s="14"/>
      <c r="E332" t="str">
        <f>IF(ISNA(VLOOKUP(C332,P:Q,2,0)),"",VLOOKUP(C332,P:Q,2,0))</f>
        <v/>
      </c>
      <c r="F332" s="15" t="str">
        <f>IF(ISNA(VLOOKUP(C332,P:R,3,0)),"",VLOOKUP(C332,P:R,3,0))</f>
        <v/>
      </c>
      <c r="G332">
        <f>ROUND(IF(D332&gt;0,0,ABS(D332)),2)</f>
        <v>0</v>
      </c>
      <c r="H332">
        <f>ROUND(IF(D332&gt;0,D332,),2)</f>
        <v>0</v>
      </c>
      <c r="K332" s="7"/>
      <c r="L332" s="9"/>
      <c r="M332" s="9"/>
      <c r="N332" s="7"/>
      <c r="P332" s="18"/>
      <c r="Q332" s="2"/>
      <c r="R332" s="2"/>
      <c r="AF332" s="14"/>
    </row>
    <row r="333" spans="1:32" customFormat="1" x14ac:dyDescent="0.25">
      <c r="A333" s="9"/>
      <c r="C333" s="14"/>
      <c r="E333" t="str">
        <f>IF(ISNA(VLOOKUP(C333,P:Q,2,0)),"",VLOOKUP(C333,P:Q,2,0))</f>
        <v/>
      </c>
      <c r="F333" s="15" t="str">
        <f>IF(ISNA(VLOOKUP(C333,P:R,3,0)),"",VLOOKUP(C333,P:R,3,0))</f>
        <v/>
      </c>
      <c r="G333">
        <f>ROUND(IF(D333&gt;0,0,ABS(D333)),2)</f>
        <v>0</v>
      </c>
      <c r="H333">
        <f>ROUND(IF(D333&gt;0,D333,),2)</f>
        <v>0</v>
      </c>
      <c r="K333" s="7"/>
      <c r="L333" s="9"/>
      <c r="M333" s="9"/>
      <c r="N333" s="7"/>
      <c r="P333" s="18"/>
      <c r="Q333" s="2"/>
      <c r="R333" s="2"/>
      <c r="AF333" s="14"/>
    </row>
    <row r="334" spans="1:32" customFormat="1" x14ac:dyDescent="0.25">
      <c r="A334" s="9"/>
      <c r="C334" s="14"/>
      <c r="E334" t="str">
        <f>IF(ISNA(VLOOKUP(C334,P:Q,2,0)),"",VLOOKUP(C334,P:Q,2,0))</f>
        <v/>
      </c>
      <c r="F334" s="15" t="str">
        <f>IF(ISNA(VLOOKUP(C334,P:R,3,0)),"",VLOOKUP(C334,P:R,3,0))</f>
        <v/>
      </c>
      <c r="G334">
        <f>ROUND(IF(D334&gt;0,0,ABS(D334)),2)</f>
        <v>0</v>
      </c>
      <c r="H334">
        <f>ROUND(IF(D334&gt;0,D334,),2)</f>
        <v>0</v>
      </c>
      <c r="K334" s="7"/>
      <c r="L334" s="9"/>
      <c r="M334" s="9"/>
      <c r="N334" s="7"/>
      <c r="P334" s="18"/>
      <c r="Q334" s="2"/>
      <c r="R334" s="2"/>
      <c r="AF334" s="14"/>
    </row>
    <row r="335" spans="1:32" customFormat="1" x14ac:dyDescent="0.25">
      <c r="A335" s="9"/>
      <c r="C335" s="14"/>
      <c r="E335" t="str">
        <f>IF(ISNA(VLOOKUP(C335,P:Q,2,0)),"",VLOOKUP(C335,P:Q,2,0))</f>
        <v/>
      </c>
      <c r="F335" s="15" t="str">
        <f>IF(ISNA(VLOOKUP(C335,P:R,3,0)),"",VLOOKUP(C335,P:R,3,0))</f>
        <v/>
      </c>
      <c r="G335">
        <f>ROUND(IF(D335&gt;0,0,ABS(D335)),2)</f>
        <v>0</v>
      </c>
      <c r="H335">
        <f>ROUND(IF(D335&gt;0,D335,),2)</f>
        <v>0</v>
      </c>
      <c r="K335" s="7"/>
      <c r="L335" s="9"/>
      <c r="M335" s="9"/>
      <c r="N335" s="7"/>
      <c r="P335" s="18"/>
      <c r="Q335" s="2"/>
      <c r="R335" s="2"/>
      <c r="AF335" s="14"/>
    </row>
    <row r="336" spans="1:32" customFormat="1" x14ac:dyDescent="0.25">
      <c r="A336" s="9"/>
      <c r="C336" s="14"/>
      <c r="E336" t="str">
        <f>IF(ISNA(VLOOKUP(C336,P:Q,2,0)),"",VLOOKUP(C336,P:Q,2,0))</f>
        <v/>
      </c>
      <c r="F336" s="15" t="str">
        <f>IF(ISNA(VLOOKUP(C336,P:R,3,0)),"",VLOOKUP(C336,P:R,3,0))</f>
        <v/>
      </c>
      <c r="G336">
        <f>ROUND(IF(D336&gt;0,0,ABS(D336)),2)</f>
        <v>0</v>
      </c>
      <c r="H336">
        <f>ROUND(IF(D336&gt;0,D336,),2)</f>
        <v>0</v>
      </c>
      <c r="K336" s="7"/>
      <c r="L336" s="9"/>
      <c r="M336" s="9"/>
      <c r="N336" s="7"/>
      <c r="P336" s="18"/>
      <c r="Q336" s="2"/>
      <c r="R336" s="2"/>
      <c r="AF336" s="14"/>
    </row>
    <row r="337" spans="1:32" customFormat="1" x14ac:dyDescent="0.25">
      <c r="A337" s="9"/>
      <c r="C337" s="14"/>
      <c r="E337" t="str">
        <f>IF(ISNA(VLOOKUP(C337,P:Q,2,0)),"",VLOOKUP(C337,P:Q,2,0))</f>
        <v/>
      </c>
      <c r="F337" s="15" t="str">
        <f>IF(ISNA(VLOOKUP(C337,P:R,3,0)),"",VLOOKUP(C337,P:R,3,0))</f>
        <v/>
      </c>
      <c r="G337">
        <f>ROUND(IF(D337&gt;0,0,ABS(D337)),2)</f>
        <v>0</v>
      </c>
      <c r="H337">
        <f>ROUND(IF(D337&gt;0,D337,),2)</f>
        <v>0</v>
      </c>
      <c r="K337" s="7"/>
      <c r="L337" s="9"/>
      <c r="M337" s="9"/>
      <c r="N337" s="7"/>
      <c r="P337" s="18"/>
      <c r="Q337" s="2"/>
      <c r="R337" s="2"/>
      <c r="AF337" s="14"/>
    </row>
    <row r="338" spans="1:32" customFormat="1" x14ac:dyDescent="0.25">
      <c r="A338" s="9"/>
      <c r="C338" s="14"/>
      <c r="E338" t="str">
        <f>IF(ISNA(VLOOKUP(C338,P:Q,2,0)),"",VLOOKUP(C338,P:Q,2,0))</f>
        <v/>
      </c>
      <c r="F338" s="15" t="str">
        <f>IF(ISNA(VLOOKUP(C338,P:R,3,0)),"",VLOOKUP(C338,P:R,3,0))</f>
        <v/>
      </c>
      <c r="G338">
        <f>ROUND(IF(D338&gt;0,0,ABS(D338)),2)</f>
        <v>0</v>
      </c>
      <c r="H338">
        <f>ROUND(IF(D338&gt;0,D338,),2)</f>
        <v>0</v>
      </c>
      <c r="K338" s="7"/>
      <c r="L338" s="9"/>
      <c r="M338" s="9"/>
      <c r="N338" s="7"/>
      <c r="P338" s="18"/>
      <c r="Q338" s="2"/>
      <c r="R338" s="2"/>
      <c r="AF338" s="14"/>
    </row>
    <row r="339" spans="1:32" customFormat="1" x14ac:dyDescent="0.25">
      <c r="A339" s="9"/>
      <c r="C339" s="14"/>
      <c r="E339" t="str">
        <f>IF(ISNA(VLOOKUP(C339,P:Q,2,0)),"",VLOOKUP(C339,P:Q,2,0))</f>
        <v/>
      </c>
      <c r="F339" s="15" t="str">
        <f>IF(ISNA(VLOOKUP(C339,P:R,3,0)),"",VLOOKUP(C339,P:R,3,0))</f>
        <v/>
      </c>
      <c r="G339">
        <f>ROUND(IF(D339&gt;0,0,ABS(D339)),2)</f>
        <v>0</v>
      </c>
      <c r="H339">
        <f>ROUND(IF(D339&gt;0,D339,),2)</f>
        <v>0</v>
      </c>
      <c r="K339" s="7"/>
      <c r="L339" s="9"/>
      <c r="M339" s="9"/>
      <c r="N339" s="7"/>
      <c r="P339" s="18"/>
      <c r="Q339" s="2"/>
      <c r="R339" s="2"/>
      <c r="AF339" s="14"/>
    </row>
    <row r="340" spans="1:32" customFormat="1" x14ac:dyDescent="0.25">
      <c r="A340" s="9"/>
      <c r="C340" s="14"/>
      <c r="E340" t="str">
        <f>IF(ISNA(VLOOKUP(C340,P:Q,2,0)),"",VLOOKUP(C340,P:Q,2,0))</f>
        <v/>
      </c>
      <c r="F340" s="15" t="str">
        <f>IF(ISNA(VLOOKUP(C340,P:R,3,0)),"",VLOOKUP(C340,P:R,3,0))</f>
        <v/>
      </c>
      <c r="G340">
        <f>ROUND(IF(D340&gt;0,0,ABS(D340)),2)</f>
        <v>0</v>
      </c>
      <c r="H340">
        <f>ROUND(IF(D340&gt;0,D340,),2)</f>
        <v>0</v>
      </c>
      <c r="K340" s="7"/>
      <c r="L340" s="9"/>
      <c r="M340" s="9"/>
      <c r="N340" s="7"/>
      <c r="P340" s="18"/>
      <c r="Q340" s="2"/>
      <c r="R340" s="2"/>
      <c r="AF340" s="14"/>
    </row>
    <row r="341" spans="1:32" customFormat="1" x14ac:dyDescent="0.25">
      <c r="A341" s="9"/>
      <c r="C341" s="14"/>
      <c r="E341" t="str">
        <f>IF(ISNA(VLOOKUP(C341,P:Q,2,0)),"",VLOOKUP(C341,P:Q,2,0))</f>
        <v/>
      </c>
      <c r="F341" s="15" t="str">
        <f>IF(ISNA(VLOOKUP(C341,P:R,3,0)),"",VLOOKUP(C341,P:R,3,0))</f>
        <v/>
      </c>
      <c r="G341">
        <f>ROUND(IF(D341&gt;0,0,ABS(D341)),2)</f>
        <v>0</v>
      </c>
      <c r="H341">
        <f>ROUND(IF(D341&gt;0,D341,),2)</f>
        <v>0</v>
      </c>
      <c r="K341" s="7"/>
      <c r="L341" s="9"/>
      <c r="M341" s="9"/>
      <c r="N341" s="7"/>
      <c r="P341" s="18"/>
      <c r="Q341" s="2"/>
      <c r="R341" s="2"/>
      <c r="AF341" s="14"/>
    </row>
    <row r="342" spans="1:32" customFormat="1" x14ac:dyDescent="0.25">
      <c r="A342" s="9"/>
      <c r="C342" s="14"/>
      <c r="E342" t="str">
        <f>IF(ISNA(VLOOKUP(C342,P:Q,2,0)),"",VLOOKUP(C342,P:Q,2,0))</f>
        <v/>
      </c>
      <c r="F342" s="15" t="str">
        <f>IF(ISNA(VLOOKUP(C342,P:R,3,0)),"",VLOOKUP(C342,P:R,3,0))</f>
        <v/>
      </c>
      <c r="G342">
        <f>ROUND(IF(D342&gt;0,0,ABS(D342)),2)</f>
        <v>0</v>
      </c>
      <c r="H342">
        <f>ROUND(IF(D342&gt;0,D342,),2)</f>
        <v>0</v>
      </c>
      <c r="K342" s="7"/>
      <c r="L342" s="9"/>
      <c r="M342" s="9"/>
      <c r="N342" s="7"/>
      <c r="P342" s="18"/>
      <c r="Q342" s="2"/>
      <c r="R342" s="2"/>
      <c r="AF342" s="14"/>
    </row>
    <row r="343" spans="1:32" customFormat="1" x14ac:dyDescent="0.25">
      <c r="A343" s="9"/>
      <c r="C343" s="14"/>
      <c r="E343" t="str">
        <f>IF(ISNA(VLOOKUP(C343,P:Q,2,0)),"",VLOOKUP(C343,P:Q,2,0))</f>
        <v/>
      </c>
      <c r="F343" s="15" t="str">
        <f>IF(ISNA(VLOOKUP(C343,P:R,3,0)),"",VLOOKUP(C343,P:R,3,0))</f>
        <v/>
      </c>
      <c r="G343">
        <f>ROUND(IF(D343&gt;0,0,ABS(D343)),2)</f>
        <v>0</v>
      </c>
      <c r="H343">
        <f>ROUND(IF(D343&gt;0,D343,),2)</f>
        <v>0</v>
      </c>
      <c r="K343" s="7"/>
      <c r="L343" s="9"/>
      <c r="M343" s="9"/>
      <c r="N343" s="7"/>
      <c r="P343" s="18"/>
      <c r="Q343" s="2"/>
      <c r="R343" s="2"/>
      <c r="AF343" s="14"/>
    </row>
    <row r="344" spans="1:32" customFormat="1" x14ac:dyDescent="0.25">
      <c r="A344" s="9"/>
      <c r="C344" s="14"/>
      <c r="E344" t="str">
        <f>IF(ISNA(VLOOKUP(C344,P:Q,2,0)),"",VLOOKUP(C344,P:Q,2,0))</f>
        <v/>
      </c>
      <c r="F344" s="15" t="str">
        <f>IF(ISNA(VLOOKUP(C344,P:R,3,0)),"",VLOOKUP(C344,P:R,3,0))</f>
        <v/>
      </c>
      <c r="G344">
        <f>ROUND(IF(D344&gt;0,0,ABS(D344)),2)</f>
        <v>0</v>
      </c>
      <c r="H344">
        <f>ROUND(IF(D344&gt;0,D344,),2)</f>
        <v>0</v>
      </c>
      <c r="K344" s="7"/>
      <c r="L344" s="9"/>
      <c r="M344" s="9"/>
      <c r="N344" s="7"/>
      <c r="P344" s="18"/>
      <c r="Q344" s="2"/>
      <c r="R344" s="2"/>
      <c r="AF344" s="14"/>
    </row>
    <row r="345" spans="1:32" customFormat="1" x14ac:dyDescent="0.25">
      <c r="A345" s="9"/>
      <c r="C345" s="14"/>
      <c r="E345" t="str">
        <f>IF(ISNA(VLOOKUP(C345,P:Q,2,0)),"",VLOOKUP(C345,P:Q,2,0))</f>
        <v/>
      </c>
      <c r="F345" s="15" t="str">
        <f>IF(ISNA(VLOOKUP(C345,P:R,3,0)),"",VLOOKUP(C345,P:R,3,0))</f>
        <v/>
      </c>
      <c r="G345">
        <f>ROUND(IF(D345&gt;0,0,ABS(D345)),2)</f>
        <v>0</v>
      </c>
      <c r="H345">
        <f>ROUND(IF(D345&gt;0,D345,),2)</f>
        <v>0</v>
      </c>
      <c r="K345" s="7"/>
      <c r="L345" s="9"/>
      <c r="M345" s="9"/>
      <c r="N345" s="7"/>
      <c r="P345" s="18"/>
      <c r="Q345" s="2"/>
      <c r="R345" s="2"/>
      <c r="AF345" s="14"/>
    </row>
    <row r="346" spans="1:32" customFormat="1" x14ac:dyDescent="0.25">
      <c r="A346" s="9"/>
      <c r="C346" s="14"/>
      <c r="E346" t="str">
        <f>IF(ISNA(VLOOKUP(C346,P:Q,2,0)),"",VLOOKUP(C346,P:Q,2,0))</f>
        <v/>
      </c>
      <c r="F346" s="15" t="str">
        <f>IF(ISNA(VLOOKUP(C346,P:R,3,0)),"",VLOOKUP(C346,P:R,3,0))</f>
        <v/>
      </c>
      <c r="G346">
        <f>ROUND(IF(D346&gt;0,0,ABS(D346)),2)</f>
        <v>0</v>
      </c>
      <c r="H346">
        <f>ROUND(IF(D346&gt;0,D346,),2)</f>
        <v>0</v>
      </c>
      <c r="K346" s="7"/>
      <c r="L346" s="9"/>
      <c r="M346" s="9"/>
      <c r="N346" s="7"/>
      <c r="P346" s="18"/>
      <c r="Q346" s="2"/>
      <c r="R346" s="2"/>
      <c r="AF346" s="14"/>
    </row>
    <row r="347" spans="1:32" customFormat="1" x14ac:dyDescent="0.25">
      <c r="A347" s="9"/>
      <c r="C347" s="14"/>
      <c r="E347" t="str">
        <f>IF(ISNA(VLOOKUP(C347,P:Q,2,0)),"",VLOOKUP(C347,P:Q,2,0))</f>
        <v/>
      </c>
      <c r="F347" s="15" t="str">
        <f>IF(ISNA(VLOOKUP(C347,P:R,3,0)),"",VLOOKUP(C347,P:R,3,0))</f>
        <v/>
      </c>
      <c r="G347">
        <f>ROUND(IF(D347&gt;0,0,ABS(D347)),2)</f>
        <v>0</v>
      </c>
      <c r="H347">
        <f>ROUND(IF(D347&gt;0,D347,),2)</f>
        <v>0</v>
      </c>
      <c r="K347" s="7"/>
      <c r="L347" s="9"/>
      <c r="M347" s="9"/>
      <c r="N347" s="7"/>
      <c r="P347" s="18"/>
      <c r="Q347" s="2"/>
      <c r="R347" s="2"/>
      <c r="AF347" s="14"/>
    </row>
    <row r="348" spans="1:32" customFormat="1" x14ac:dyDescent="0.25">
      <c r="A348" s="9"/>
      <c r="C348" s="14"/>
      <c r="E348" t="str">
        <f>IF(ISNA(VLOOKUP(C348,P:Q,2,0)),"",VLOOKUP(C348,P:Q,2,0))</f>
        <v/>
      </c>
      <c r="F348" s="15" t="str">
        <f>IF(ISNA(VLOOKUP(C348,P:R,3,0)),"",VLOOKUP(C348,P:R,3,0))</f>
        <v/>
      </c>
      <c r="G348">
        <f>ROUND(IF(D348&gt;0,0,ABS(D348)),2)</f>
        <v>0</v>
      </c>
      <c r="H348">
        <f>ROUND(IF(D348&gt;0,D348,),2)</f>
        <v>0</v>
      </c>
      <c r="K348" s="7"/>
      <c r="L348" s="9"/>
      <c r="M348" s="9"/>
      <c r="N348" s="7"/>
      <c r="P348" s="18"/>
      <c r="Q348" s="2"/>
      <c r="R348" s="2"/>
      <c r="AF348" s="14"/>
    </row>
    <row r="349" spans="1:32" customFormat="1" x14ac:dyDescent="0.25">
      <c r="A349" s="9"/>
      <c r="C349" s="14"/>
      <c r="E349" t="str">
        <f>IF(ISNA(VLOOKUP(C349,P:Q,2,0)),"",VLOOKUP(C349,P:Q,2,0))</f>
        <v/>
      </c>
      <c r="F349" s="15" t="str">
        <f>IF(ISNA(VLOOKUP(C349,P:R,3,0)),"",VLOOKUP(C349,P:R,3,0))</f>
        <v/>
      </c>
      <c r="G349">
        <f>ROUND(IF(D349&gt;0,0,ABS(D349)),2)</f>
        <v>0</v>
      </c>
      <c r="H349">
        <f>ROUND(IF(D349&gt;0,D349,),2)</f>
        <v>0</v>
      </c>
      <c r="K349" s="7"/>
      <c r="L349" s="9"/>
      <c r="M349" s="9"/>
      <c r="N349" s="7"/>
      <c r="P349" s="18"/>
      <c r="Q349" s="2"/>
      <c r="R349" s="2"/>
      <c r="AF349" s="14"/>
    </row>
    <row r="350" spans="1:32" customFormat="1" x14ac:dyDescent="0.25">
      <c r="A350" s="9"/>
      <c r="C350" s="14"/>
      <c r="E350" t="str">
        <f>IF(ISNA(VLOOKUP(C350,P:Q,2,0)),"",VLOOKUP(C350,P:Q,2,0))</f>
        <v/>
      </c>
      <c r="F350" s="15" t="str">
        <f>IF(ISNA(VLOOKUP(C350,P:R,3,0)),"",VLOOKUP(C350,P:R,3,0))</f>
        <v/>
      </c>
      <c r="G350">
        <f>ROUND(IF(D350&gt;0,0,ABS(D350)),2)</f>
        <v>0</v>
      </c>
      <c r="H350">
        <f>ROUND(IF(D350&gt;0,D350,),2)</f>
        <v>0</v>
      </c>
      <c r="K350" s="7"/>
      <c r="L350" s="9"/>
      <c r="M350" s="9"/>
      <c r="N350" s="7"/>
      <c r="P350" s="18"/>
      <c r="Q350" s="2"/>
      <c r="R350" s="2"/>
      <c r="AF350" s="14"/>
    </row>
    <row r="351" spans="1:32" customFormat="1" x14ac:dyDescent="0.25">
      <c r="A351" s="9"/>
      <c r="C351" s="14"/>
      <c r="E351" t="str">
        <f>IF(ISNA(VLOOKUP(C351,P:Q,2,0)),"",VLOOKUP(C351,P:Q,2,0))</f>
        <v/>
      </c>
      <c r="F351" s="15" t="str">
        <f>IF(ISNA(VLOOKUP(C351,P:R,3,0)),"",VLOOKUP(C351,P:R,3,0))</f>
        <v/>
      </c>
      <c r="G351">
        <f>ROUND(IF(D351&gt;0,0,ABS(D351)),2)</f>
        <v>0</v>
      </c>
      <c r="H351">
        <f>ROUND(IF(D351&gt;0,D351,),2)</f>
        <v>0</v>
      </c>
      <c r="K351" s="7"/>
      <c r="L351" s="9"/>
      <c r="M351" s="9"/>
      <c r="N351" s="7"/>
      <c r="P351" s="18"/>
      <c r="Q351" s="2"/>
      <c r="R351" s="2"/>
      <c r="AF351" s="14"/>
    </row>
    <row r="352" spans="1:32" customFormat="1" x14ac:dyDescent="0.25">
      <c r="A352" s="9"/>
      <c r="C352" s="14"/>
      <c r="E352" t="str">
        <f>IF(ISNA(VLOOKUP(C352,P:Q,2,0)),"",VLOOKUP(C352,P:Q,2,0))</f>
        <v/>
      </c>
      <c r="F352" s="15" t="str">
        <f>IF(ISNA(VLOOKUP(C352,P:R,3,0)),"",VLOOKUP(C352,P:R,3,0))</f>
        <v/>
      </c>
      <c r="G352">
        <f>ROUND(IF(D352&gt;0,0,ABS(D352)),2)</f>
        <v>0</v>
      </c>
      <c r="H352">
        <f>ROUND(IF(D352&gt;0,D352,),2)</f>
        <v>0</v>
      </c>
      <c r="K352" s="7"/>
      <c r="L352" s="9"/>
      <c r="M352" s="9"/>
      <c r="N352" s="7"/>
      <c r="P352" s="18"/>
      <c r="Q352" s="2"/>
      <c r="R352" s="2"/>
      <c r="AF352" s="14"/>
    </row>
    <row r="353" spans="1:32" customFormat="1" x14ac:dyDescent="0.25">
      <c r="A353" s="9"/>
      <c r="C353" s="14"/>
      <c r="E353" t="str">
        <f>IF(ISNA(VLOOKUP(C353,P:Q,2,0)),"",VLOOKUP(C353,P:Q,2,0))</f>
        <v/>
      </c>
      <c r="F353" s="15" t="str">
        <f>IF(ISNA(VLOOKUP(C353,P:R,3,0)),"",VLOOKUP(C353,P:R,3,0))</f>
        <v/>
      </c>
      <c r="G353">
        <f>ROUND(IF(D353&gt;0,0,ABS(D353)),2)</f>
        <v>0</v>
      </c>
      <c r="H353">
        <f>ROUND(IF(D353&gt;0,D353,),2)</f>
        <v>0</v>
      </c>
      <c r="K353" s="7"/>
      <c r="L353" s="9"/>
      <c r="M353" s="9"/>
      <c r="N353" s="7"/>
      <c r="P353" s="18"/>
      <c r="Q353" s="2"/>
      <c r="R353" s="2"/>
      <c r="AF353" s="14"/>
    </row>
    <row r="354" spans="1:32" customFormat="1" x14ac:dyDescent="0.25">
      <c r="A354" s="9"/>
      <c r="C354" s="14"/>
      <c r="E354" t="str">
        <f>IF(ISNA(VLOOKUP(C354,P:Q,2,0)),"",VLOOKUP(C354,P:Q,2,0))</f>
        <v/>
      </c>
      <c r="F354" s="15" t="str">
        <f>IF(ISNA(VLOOKUP(C354,P:R,3,0)),"",VLOOKUP(C354,P:R,3,0))</f>
        <v/>
      </c>
      <c r="G354">
        <f>ROUND(IF(D354&gt;0,0,ABS(D354)),2)</f>
        <v>0</v>
      </c>
      <c r="H354">
        <f>ROUND(IF(D354&gt;0,D354,),2)</f>
        <v>0</v>
      </c>
      <c r="K354" s="7"/>
      <c r="L354" s="9"/>
      <c r="M354" s="9"/>
      <c r="N354" s="7"/>
      <c r="P354" s="18"/>
      <c r="Q354" s="2"/>
      <c r="R354" s="2"/>
      <c r="AF354" s="14"/>
    </row>
    <row r="355" spans="1:32" customFormat="1" x14ac:dyDescent="0.25">
      <c r="A355" s="9"/>
      <c r="C355" s="14"/>
      <c r="E355" t="str">
        <f>IF(ISNA(VLOOKUP(C355,P:Q,2,0)),"",VLOOKUP(C355,P:Q,2,0))</f>
        <v/>
      </c>
      <c r="F355" s="15" t="str">
        <f>IF(ISNA(VLOOKUP(C355,P:R,3,0)),"",VLOOKUP(C355,P:R,3,0))</f>
        <v/>
      </c>
      <c r="G355">
        <f>ROUND(IF(D355&gt;0,0,ABS(D355)),2)</f>
        <v>0</v>
      </c>
      <c r="H355">
        <f>ROUND(IF(D355&gt;0,D355,),2)</f>
        <v>0</v>
      </c>
      <c r="K355" s="7"/>
      <c r="L355" s="9"/>
      <c r="M355" s="9"/>
      <c r="N355" s="7"/>
      <c r="P355" s="18"/>
      <c r="Q355" s="2"/>
      <c r="R355" s="2"/>
      <c r="AF355" s="14"/>
    </row>
    <row r="356" spans="1:32" customFormat="1" x14ac:dyDescent="0.25">
      <c r="A356" s="9"/>
      <c r="C356" s="14"/>
      <c r="E356" t="str">
        <f>IF(ISNA(VLOOKUP(C356,P:Q,2,0)),"",VLOOKUP(C356,P:Q,2,0))</f>
        <v/>
      </c>
      <c r="F356" s="15" t="str">
        <f>IF(ISNA(VLOOKUP(C356,P:R,3,0)),"",VLOOKUP(C356,P:R,3,0))</f>
        <v/>
      </c>
      <c r="G356">
        <f>ROUND(IF(D356&gt;0,0,ABS(D356)),2)</f>
        <v>0</v>
      </c>
      <c r="H356">
        <f>ROUND(IF(D356&gt;0,D356,),2)</f>
        <v>0</v>
      </c>
      <c r="K356" s="7"/>
      <c r="L356" s="9"/>
      <c r="M356" s="9"/>
      <c r="N356" s="7"/>
      <c r="P356" s="18"/>
      <c r="Q356" s="2"/>
      <c r="R356" s="2"/>
      <c r="AF356" s="14"/>
    </row>
    <row r="357" spans="1:32" customFormat="1" x14ac:dyDescent="0.25">
      <c r="A357" s="9"/>
      <c r="C357" s="14"/>
      <c r="E357" t="str">
        <f>IF(ISNA(VLOOKUP(C357,P:Q,2,0)),"",VLOOKUP(C357,P:Q,2,0))</f>
        <v/>
      </c>
      <c r="F357" s="15" t="str">
        <f>IF(ISNA(VLOOKUP(C357,P:R,3,0)),"",VLOOKUP(C357,P:R,3,0))</f>
        <v/>
      </c>
      <c r="G357">
        <f>ROUND(IF(D357&gt;0,0,ABS(D357)),2)</f>
        <v>0</v>
      </c>
      <c r="H357">
        <f>ROUND(IF(D357&gt;0,D357,),2)</f>
        <v>0</v>
      </c>
      <c r="K357" s="7"/>
      <c r="L357" s="9"/>
      <c r="M357" s="9"/>
      <c r="N357" s="7"/>
      <c r="P357" s="18"/>
      <c r="Q357" s="2"/>
      <c r="R357" s="2"/>
      <c r="AF357" s="14"/>
    </row>
    <row r="358" spans="1:32" customFormat="1" x14ac:dyDescent="0.25">
      <c r="A358" s="9"/>
      <c r="C358" s="14"/>
      <c r="E358" t="str">
        <f>IF(ISNA(VLOOKUP(C358,P:Q,2,0)),"",VLOOKUP(C358,P:Q,2,0))</f>
        <v/>
      </c>
      <c r="F358" s="15" t="str">
        <f>IF(ISNA(VLOOKUP(C358,P:R,3,0)),"",VLOOKUP(C358,P:R,3,0))</f>
        <v/>
      </c>
      <c r="G358">
        <f>ROUND(IF(D358&gt;0,0,ABS(D358)),2)</f>
        <v>0</v>
      </c>
      <c r="H358">
        <f>ROUND(IF(D358&gt;0,D358,),2)</f>
        <v>0</v>
      </c>
      <c r="K358" s="7"/>
      <c r="L358" s="9"/>
      <c r="M358" s="9"/>
      <c r="N358" s="7"/>
      <c r="P358" s="18"/>
      <c r="Q358" s="2"/>
      <c r="R358" s="2"/>
      <c r="AF358" s="14"/>
    </row>
    <row r="359" spans="1:32" customFormat="1" x14ac:dyDescent="0.25">
      <c r="A359" s="9"/>
      <c r="C359" s="14"/>
      <c r="E359" t="str">
        <f>IF(ISNA(VLOOKUP(C359,P:Q,2,0)),"",VLOOKUP(C359,P:Q,2,0))</f>
        <v/>
      </c>
      <c r="F359" s="15" t="str">
        <f>IF(ISNA(VLOOKUP(C359,P:R,3,0)),"",VLOOKUP(C359,P:R,3,0))</f>
        <v/>
      </c>
      <c r="G359">
        <f>ROUND(IF(D359&gt;0,0,ABS(D359)),2)</f>
        <v>0</v>
      </c>
      <c r="H359">
        <f>ROUND(IF(D359&gt;0,D359,),2)</f>
        <v>0</v>
      </c>
      <c r="K359" s="7"/>
      <c r="L359" s="9"/>
      <c r="M359" s="9"/>
      <c r="N359" s="7"/>
      <c r="P359" s="18"/>
      <c r="Q359" s="2"/>
      <c r="R359" s="2"/>
      <c r="AF359" s="14"/>
    </row>
    <row r="360" spans="1:32" customFormat="1" x14ac:dyDescent="0.25">
      <c r="A360" s="9"/>
      <c r="C360" s="14"/>
      <c r="E360" t="str">
        <f>IF(ISNA(VLOOKUP(C360,P:Q,2,0)),"",VLOOKUP(C360,P:Q,2,0))</f>
        <v/>
      </c>
      <c r="F360" s="15" t="str">
        <f>IF(ISNA(VLOOKUP(C360,P:R,3,0)),"",VLOOKUP(C360,P:R,3,0))</f>
        <v/>
      </c>
      <c r="G360">
        <f>ROUND(IF(D360&gt;0,0,ABS(D360)),2)</f>
        <v>0</v>
      </c>
      <c r="H360">
        <f>ROUND(IF(D360&gt;0,D360,),2)</f>
        <v>0</v>
      </c>
      <c r="K360" s="7"/>
      <c r="L360" s="9"/>
      <c r="M360" s="9"/>
      <c r="N360" s="7"/>
      <c r="P360" s="18"/>
      <c r="Q360" s="2"/>
      <c r="R360" s="2"/>
      <c r="AF360" s="14"/>
    </row>
    <row r="361" spans="1:32" customFormat="1" x14ac:dyDescent="0.25">
      <c r="A361" s="9"/>
      <c r="C361" s="14"/>
      <c r="E361" t="str">
        <f>IF(ISNA(VLOOKUP(C361,P:Q,2,0)),"",VLOOKUP(C361,P:Q,2,0))</f>
        <v/>
      </c>
      <c r="F361" s="15" t="str">
        <f>IF(ISNA(VLOOKUP(C361,P:R,3,0)),"",VLOOKUP(C361,P:R,3,0))</f>
        <v/>
      </c>
      <c r="G361">
        <f>ROUND(IF(D361&gt;0,0,ABS(D361)),2)</f>
        <v>0</v>
      </c>
      <c r="H361">
        <f>ROUND(IF(D361&gt;0,D361,),2)</f>
        <v>0</v>
      </c>
      <c r="K361" s="7"/>
      <c r="L361" s="9"/>
      <c r="M361" s="9"/>
      <c r="N361" s="7"/>
      <c r="P361" s="18"/>
      <c r="Q361" s="2"/>
      <c r="R361" s="2"/>
      <c r="AF361" s="14"/>
    </row>
    <row r="362" spans="1:32" customFormat="1" x14ac:dyDescent="0.25">
      <c r="A362" s="9"/>
      <c r="C362" s="14"/>
      <c r="E362" t="str">
        <f>IF(ISNA(VLOOKUP(C362,P:Q,2,0)),"",VLOOKUP(C362,P:Q,2,0))</f>
        <v/>
      </c>
      <c r="F362" s="15" t="str">
        <f>IF(ISNA(VLOOKUP(C362,P:R,3,0)),"",VLOOKUP(C362,P:R,3,0))</f>
        <v/>
      </c>
      <c r="G362">
        <f>ROUND(IF(D362&gt;0,0,ABS(D362)),2)</f>
        <v>0</v>
      </c>
      <c r="H362">
        <f>ROUND(IF(D362&gt;0,D362,),2)</f>
        <v>0</v>
      </c>
      <c r="K362" s="7"/>
      <c r="L362" s="9"/>
      <c r="M362" s="9"/>
      <c r="N362" s="7"/>
      <c r="P362" s="18"/>
      <c r="Q362" s="2"/>
      <c r="R362" s="2"/>
      <c r="AF362" s="14"/>
    </row>
    <row r="363" spans="1:32" customFormat="1" x14ac:dyDescent="0.25">
      <c r="A363" s="9"/>
      <c r="C363" s="14"/>
      <c r="E363" t="str">
        <f>IF(ISNA(VLOOKUP(C363,P:Q,2,0)),"",VLOOKUP(C363,P:Q,2,0))</f>
        <v/>
      </c>
      <c r="F363" s="15" t="str">
        <f>IF(ISNA(VLOOKUP(C363,P:R,3,0)),"",VLOOKUP(C363,P:R,3,0))</f>
        <v/>
      </c>
      <c r="G363">
        <f>ROUND(IF(D363&gt;0,0,ABS(D363)),2)</f>
        <v>0</v>
      </c>
      <c r="H363">
        <f>ROUND(IF(D363&gt;0,D363,),2)</f>
        <v>0</v>
      </c>
      <c r="K363" s="7"/>
      <c r="L363" s="9"/>
      <c r="M363" s="9"/>
      <c r="N363" s="7"/>
      <c r="P363" s="18"/>
      <c r="Q363" s="2"/>
      <c r="R363" s="2"/>
      <c r="AF363" s="14"/>
    </row>
    <row r="364" spans="1:32" customFormat="1" x14ac:dyDescent="0.25">
      <c r="A364" s="9"/>
      <c r="C364" s="14"/>
      <c r="E364" t="str">
        <f>IF(ISNA(VLOOKUP(C364,P:Q,2,0)),"",VLOOKUP(C364,P:Q,2,0))</f>
        <v/>
      </c>
      <c r="F364" s="15" t="str">
        <f>IF(ISNA(VLOOKUP(C364,P:R,3,0)),"",VLOOKUP(C364,P:R,3,0))</f>
        <v/>
      </c>
      <c r="G364">
        <f>ROUND(IF(D364&gt;0,0,ABS(D364)),2)</f>
        <v>0</v>
      </c>
      <c r="H364">
        <f>ROUND(IF(D364&gt;0,D364,),2)</f>
        <v>0</v>
      </c>
      <c r="K364" s="7"/>
      <c r="L364" s="9"/>
      <c r="M364" s="9"/>
      <c r="N364" s="7"/>
      <c r="P364" s="18"/>
      <c r="Q364" s="2"/>
      <c r="R364" s="2"/>
      <c r="AF364" s="14"/>
    </row>
    <row r="365" spans="1:32" customFormat="1" x14ac:dyDescent="0.25">
      <c r="A365" s="9"/>
      <c r="C365" s="14"/>
      <c r="E365" t="str">
        <f>IF(ISNA(VLOOKUP(C365,P:Q,2,0)),"",VLOOKUP(C365,P:Q,2,0))</f>
        <v/>
      </c>
      <c r="F365" s="15" t="str">
        <f>IF(ISNA(VLOOKUP(C365,P:R,3,0)),"",VLOOKUP(C365,P:R,3,0))</f>
        <v/>
      </c>
      <c r="G365">
        <f>ROUND(IF(D365&gt;0,0,ABS(D365)),2)</f>
        <v>0</v>
      </c>
      <c r="H365">
        <f>ROUND(IF(D365&gt;0,D365,),2)</f>
        <v>0</v>
      </c>
      <c r="K365" s="7"/>
      <c r="L365" s="9"/>
      <c r="M365" s="9"/>
      <c r="N365" s="7"/>
      <c r="P365" s="18"/>
      <c r="Q365" s="2"/>
      <c r="R365" s="2"/>
      <c r="AF365" s="14"/>
    </row>
    <row r="366" spans="1:32" customFormat="1" x14ac:dyDescent="0.25">
      <c r="A366" s="9"/>
      <c r="C366" s="14"/>
      <c r="E366" t="str">
        <f>IF(ISNA(VLOOKUP(C366,P:Q,2,0)),"",VLOOKUP(C366,P:Q,2,0))</f>
        <v/>
      </c>
      <c r="F366" s="15" t="str">
        <f>IF(ISNA(VLOOKUP(C366,P:R,3,0)),"",VLOOKUP(C366,P:R,3,0))</f>
        <v/>
      </c>
      <c r="G366">
        <f>ROUND(IF(D366&gt;0,0,ABS(D366)),2)</f>
        <v>0</v>
      </c>
      <c r="H366">
        <f>ROUND(IF(D366&gt;0,D366,),2)</f>
        <v>0</v>
      </c>
      <c r="K366" s="7"/>
      <c r="L366" s="9"/>
      <c r="M366" s="9"/>
      <c r="N366" s="7"/>
      <c r="P366" s="18"/>
      <c r="Q366" s="2"/>
      <c r="R366" s="2"/>
      <c r="AF366" s="14"/>
    </row>
    <row r="367" spans="1:32" customFormat="1" x14ac:dyDescent="0.25">
      <c r="A367" s="9"/>
      <c r="C367" s="14"/>
      <c r="E367" t="str">
        <f>IF(ISNA(VLOOKUP(C367,P:Q,2,0)),"",VLOOKUP(C367,P:Q,2,0))</f>
        <v/>
      </c>
      <c r="F367" s="15" t="str">
        <f>IF(ISNA(VLOOKUP(C367,P:R,3,0)),"",VLOOKUP(C367,P:R,3,0))</f>
        <v/>
      </c>
      <c r="G367">
        <f>ROUND(IF(D367&gt;0,0,ABS(D367)),2)</f>
        <v>0</v>
      </c>
      <c r="H367">
        <f>ROUND(IF(D367&gt;0,D367,),2)</f>
        <v>0</v>
      </c>
      <c r="K367" s="7"/>
      <c r="L367" s="9"/>
      <c r="M367" s="9"/>
      <c r="N367" s="7"/>
      <c r="P367" s="18"/>
      <c r="Q367" s="2"/>
      <c r="R367" s="2"/>
      <c r="AF367" s="14"/>
    </row>
    <row r="368" spans="1:32" customFormat="1" x14ac:dyDescent="0.25">
      <c r="A368" s="9"/>
      <c r="C368" s="14"/>
      <c r="E368" t="str">
        <f>IF(ISNA(VLOOKUP(C368,P:Q,2,0)),"",VLOOKUP(C368,P:Q,2,0))</f>
        <v/>
      </c>
      <c r="F368" s="15" t="str">
        <f>IF(ISNA(VLOOKUP(C368,P:R,3,0)),"",VLOOKUP(C368,P:R,3,0))</f>
        <v/>
      </c>
      <c r="G368">
        <f>ROUND(IF(D368&gt;0,0,ABS(D368)),2)</f>
        <v>0</v>
      </c>
      <c r="H368">
        <f>ROUND(IF(D368&gt;0,D368,),2)</f>
        <v>0</v>
      </c>
      <c r="K368" s="7"/>
      <c r="L368" s="9"/>
      <c r="M368" s="9"/>
      <c r="N368" s="7"/>
      <c r="P368" s="18"/>
      <c r="Q368" s="2"/>
      <c r="R368" s="2"/>
      <c r="AF368" s="14"/>
    </row>
    <row r="369" spans="1:32" customFormat="1" x14ac:dyDescent="0.25">
      <c r="A369" s="9"/>
      <c r="C369" s="14"/>
      <c r="E369" t="str">
        <f>IF(ISNA(VLOOKUP(C369,P:Q,2,0)),"",VLOOKUP(C369,P:Q,2,0))</f>
        <v/>
      </c>
      <c r="F369" s="15" t="str">
        <f>IF(ISNA(VLOOKUP(C369,P:R,3,0)),"",VLOOKUP(C369,P:R,3,0))</f>
        <v/>
      </c>
      <c r="G369">
        <f>ROUND(IF(D369&gt;0,0,ABS(D369)),2)</f>
        <v>0</v>
      </c>
      <c r="H369">
        <f>ROUND(IF(D369&gt;0,D369,),2)</f>
        <v>0</v>
      </c>
      <c r="K369" s="7"/>
      <c r="L369" s="9"/>
      <c r="M369" s="9"/>
      <c r="N369" s="7"/>
      <c r="P369" s="18"/>
      <c r="Q369" s="2"/>
      <c r="R369" s="2"/>
      <c r="AF369" s="14"/>
    </row>
    <row r="370" spans="1:32" customFormat="1" x14ac:dyDescent="0.25">
      <c r="A370" s="9"/>
      <c r="C370" s="14"/>
      <c r="E370" t="str">
        <f>IF(ISNA(VLOOKUP(C370,P:Q,2,0)),"",VLOOKUP(C370,P:Q,2,0))</f>
        <v/>
      </c>
      <c r="F370" s="15" t="str">
        <f>IF(ISNA(VLOOKUP(C370,P:R,3,0)),"",VLOOKUP(C370,P:R,3,0))</f>
        <v/>
      </c>
      <c r="G370">
        <f>ROUND(IF(D370&gt;0,0,ABS(D370)),2)</f>
        <v>0</v>
      </c>
      <c r="H370">
        <f>ROUND(IF(D370&gt;0,D370,),2)</f>
        <v>0</v>
      </c>
      <c r="K370" s="7"/>
      <c r="L370" s="9"/>
      <c r="M370" s="9"/>
      <c r="N370" s="7"/>
      <c r="P370" s="18"/>
      <c r="Q370" s="2"/>
      <c r="R370" s="2"/>
      <c r="AF370" s="14"/>
    </row>
    <row r="371" spans="1:32" customFormat="1" x14ac:dyDescent="0.25">
      <c r="A371" s="9"/>
      <c r="C371" s="14"/>
      <c r="E371" t="str">
        <f>IF(ISNA(VLOOKUP(C371,P:Q,2,0)),"",VLOOKUP(C371,P:Q,2,0))</f>
        <v/>
      </c>
      <c r="F371" s="15" t="str">
        <f>IF(ISNA(VLOOKUP(C371,P:R,3,0)),"",VLOOKUP(C371,P:R,3,0))</f>
        <v/>
      </c>
      <c r="G371">
        <f>ROUND(IF(D371&gt;0,0,ABS(D371)),2)</f>
        <v>0</v>
      </c>
      <c r="H371">
        <f>ROUND(IF(D371&gt;0,D371,),2)</f>
        <v>0</v>
      </c>
      <c r="K371" s="7"/>
      <c r="L371" s="9"/>
      <c r="M371" s="9"/>
      <c r="N371" s="7"/>
      <c r="P371" s="18"/>
      <c r="Q371" s="2"/>
      <c r="R371" s="2"/>
      <c r="AF371" s="14"/>
    </row>
    <row r="372" spans="1:32" customFormat="1" x14ac:dyDescent="0.25">
      <c r="A372" s="9"/>
      <c r="C372" s="14"/>
      <c r="E372" t="str">
        <f>IF(ISNA(VLOOKUP(C372,P:Q,2,0)),"",VLOOKUP(C372,P:Q,2,0))</f>
        <v/>
      </c>
      <c r="F372" s="15" t="str">
        <f>IF(ISNA(VLOOKUP(C372,P:R,3,0)),"",VLOOKUP(C372,P:R,3,0))</f>
        <v/>
      </c>
      <c r="G372">
        <f>ROUND(IF(D372&gt;0,0,ABS(D372)),2)</f>
        <v>0</v>
      </c>
      <c r="H372">
        <f>ROUND(IF(D372&gt;0,D372,),2)</f>
        <v>0</v>
      </c>
      <c r="K372" s="7"/>
      <c r="L372" s="9"/>
      <c r="M372" s="9"/>
      <c r="N372" s="7"/>
      <c r="P372" s="18"/>
      <c r="Q372" s="2"/>
      <c r="R372" s="2"/>
      <c r="AF372" s="14"/>
    </row>
    <row r="373" spans="1:32" customFormat="1" x14ac:dyDescent="0.25">
      <c r="A373" s="9"/>
      <c r="C373" s="14"/>
      <c r="E373" t="str">
        <f>IF(ISNA(VLOOKUP(C373,P:Q,2,0)),"",VLOOKUP(C373,P:Q,2,0))</f>
        <v/>
      </c>
      <c r="F373" s="15" t="str">
        <f>IF(ISNA(VLOOKUP(C373,P:R,3,0)),"",VLOOKUP(C373,P:R,3,0))</f>
        <v/>
      </c>
      <c r="G373">
        <f>ROUND(IF(D373&gt;0,0,ABS(D373)),2)</f>
        <v>0</v>
      </c>
      <c r="H373">
        <f>ROUND(IF(D373&gt;0,D373,),2)</f>
        <v>0</v>
      </c>
      <c r="K373" s="7"/>
      <c r="L373" s="9"/>
      <c r="M373" s="9"/>
      <c r="N373" s="7"/>
      <c r="P373" s="18"/>
      <c r="Q373" s="2"/>
      <c r="R373" s="2"/>
      <c r="AF373" s="14"/>
    </row>
    <row r="374" spans="1:32" customFormat="1" x14ac:dyDescent="0.25">
      <c r="A374" s="9"/>
      <c r="C374" s="14"/>
      <c r="E374" t="str">
        <f>IF(ISNA(VLOOKUP(C374,P:Q,2,0)),"",VLOOKUP(C374,P:Q,2,0))</f>
        <v/>
      </c>
      <c r="F374" s="15" t="str">
        <f>IF(ISNA(VLOOKUP(C374,P:R,3,0)),"",VLOOKUP(C374,P:R,3,0))</f>
        <v/>
      </c>
      <c r="G374">
        <f>ROUND(IF(D374&gt;0,0,ABS(D374)),2)</f>
        <v>0</v>
      </c>
      <c r="H374">
        <f>ROUND(IF(D374&gt;0,D374,),2)</f>
        <v>0</v>
      </c>
      <c r="K374" s="7"/>
      <c r="L374" s="9"/>
      <c r="M374" s="9"/>
      <c r="N374" s="7"/>
      <c r="P374" s="18"/>
      <c r="Q374" s="2"/>
      <c r="R374" s="2"/>
      <c r="AF374" s="14"/>
    </row>
    <row r="375" spans="1:32" customFormat="1" x14ac:dyDescent="0.25">
      <c r="A375" s="9"/>
      <c r="C375" s="14"/>
      <c r="E375" t="str">
        <f>IF(ISNA(VLOOKUP(C375,P:Q,2,0)),"",VLOOKUP(C375,P:Q,2,0))</f>
        <v/>
      </c>
      <c r="F375" s="15" t="str">
        <f>IF(ISNA(VLOOKUP(C375,P:R,3,0)),"",VLOOKUP(C375,P:R,3,0))</f>
        <v/>
      </c>
      <c r="G375">
        <f>ROUND(IF(D375&gt;0,0,ABS(D375)),2)</f>
        <v>0</v>
      </c>
      <c r="H375">
        <f>ROUND(IF(D375&gt;0,D375,),2)</f>
        <v>0</v>
      </c>
      <c r="K375" s="7"/>
      <c r="L375" s="9"/>
      <c r="M375" s="9"/>
      <c r="N375" s="7"/>
      <c r="P375" s="18"/>
      <c r="Q375" s="2"/>
      <c r="R375" s="2"/>
      <c r="AF375" s="14"/>
    </row>
    <row r="376" spans="1:32" customFormat="1" x14ac:dyDescent="0.25">
      <c r="A376" s="9"/>
      <c r="C376" s="14"/>
      <c r="E376" t="str">
        <f>IF(ISNA(VLOOKUP(C376,P:Q,2,0)),"",VLOOKUP(C376,P:Q,2,0))</f>
        <v/>
      </c>
      <c r="F376" s="15" t="str">
        <f>IF(ISNA(VLOOKUP(C376,P:R,3,0)),"",VLOOKUP(C376,P:R,3,0))</f>
        <v/>
      </c>
      <c r="G376">
        <f>ROUND(IF(D376&gt;0,0,ABS(D376)),2)</f>
        <v>0</v>
      </c>
      <c r="H376">
        <f>ROUND(IF(D376&gt;0,D376,),2)</f>
        <v>0</v>
      </c>
      <c r="K376" s="7"/>
      <c r="L376" s="9"/>
      <c r="M376" s="9"/>
      <c r="N376" s="7"/>
      <c r="P376" s="18"/>
      <c r="Q376" s="2"/>
      <c r="R376" s="2"/>
      <c r="AF376" s="14"/>
    </row>
    <row r="377" spans="1:32" customFormat="1" x14ac:dyDescent="0.25">
      <c r="A377" s="9"/>
      <c r="C377" s="14"/>
      <c r="E377" t="str">
        <f>IF(ISNA(VLOOKUP(C377,P:Q,2,0)),"",VLOOKUP(C377,P:Q,2,0))</f>
        <v/>
      </c>
      <c r="F377" s="15" t="str">
        <f>IF(ISNA(VLOOKUP(C377,P:R,3,0)),"",VLOOKUP(C377,P:R,3,0))</f>
        <v/>
      </c>
      <c r="G377">
        <f>ROUND(IF(D377&gt;0,0,ABS(D377)),2)</f>
        <v>0</v>
      </c>
      <c r="H377">
        <f>ROUND(IF(D377&gt;0,D377,),2)</f>
        <v>0</v>
      </c>
      <c r="K377" s="7"/>
      <c r="L377" s="9"/>
      <c r="M377" s="9"/>
      <c r="N377" s="7"/>
      <c r="P377" s="18"/>
      <c r="Q377" s="2"/>
      <c r="R377" s="2"/>
      <c r="AF377" s="14"/>
    </row>
    <row r="378" spans="1:32" customFormat="1" x14ac:dyDescent="0.25">
      <c r="A378" s="9"/>
      <c r="C378" s="14"/>
      <c r="E378" t="str">
        <f>IF(ISNA(VLOOKUP(C378,P:Q,2,0)),"",VLOOKUP(C378,P:Q,2,0))</f>
        <v/>
      </c>
      <c r="F378" s="15" t="str">
        <f>IF(ISNA(VLOOKUP(C378,P:R,3,0)),"",VLOOKUP(C378,P:R,3,0))</f>
        <v/>
      </c>
      <c r="G378">
        <f>ROUND(IF(D378&gt;0,0,ABS(D378)),2)</f>
        <v>0</v>
      </c>
      <c r="H378">
        <f>ROUND(IF(D378&gt;0,D378,),2)</f>
        <v>0</v>
      </c>
      <c r="K378" s="7"/>
      <c r="L378" s="9"/>
      <c r="M378" s="9"/>
      <c r="N378" s="7"/>
      <c r="P378" s="18"/>
      <c r="Q378" s="2"/>
      <c r="R378" s="2"/>
      <c r="AF378" s="14"/>
    </row>
    <row r="379" spans="1:32" customFormat="1" x14ac:dyDescent="0.25">
      <c r="A379" s="9"/>
      <c r="C379" s="14"/>
      <c r="E379" t="str">
        <f>IF(ISNA(VLOOKUP(C379,P:Q,2,0)),"",VLOOKUP(C379,P:Q,2,0))</f>
        <v/>
      </c>
      <c r="F379" s="15" t="str">
        <f>IF(ISNA(VLOOKUP(C379,P:R,3,0)),"",VLOOKUP(C379,P:R,3,0))</f>
        <v/>
      </c>
      <c r="G379">
        <f>ROUND(IF(D379&gt;0,0,ABS(D379)),2)</f>
        <v>0</v>
      </c>
      <c r="H379">
        <f>ROUND(IF(D379&gt;0,D379,),2)</f>
        <v>0</v>
      </c>
      <c r="K379" s="7"/>
      <c r="L379" s="9"/>
      <c r="M379" s="9"/>
      <c r="N379" s="7"/>
      <c r="P379" s="18"/>
      <c r="Q379" s="2"/>
      <c r="R379" s="2"/>
      <c r="AF379" s="14"/>
    </row>
    <row r="380" spans="1:32" customFormat="1" x14ac:dyDescent="0.25">
      <c r="A380" s="9"/>
      <c r="C380" s="14"/>
      <c r="E380" t="str">
        <f>IF(ISNA(VLOOKUP(C380,P:Q,2,0)),"",VLOOKUP(C380,P:Q,2,0))</f>
        <v/>
      </c>
      <c r="F380" s="15" t="str">
        <f>IF(ISNA(VLOOKUP(C380,P:R,3,0)),"",VLOOKUP(C380,P:R,3,0))</f>
        <v/>
      </c>
      <c r="G380">
        <f>ROUND(IF(D380&gt;0,0,ABS(D380)),2)</f>
        <v>0</v>
      </c>
      <c r="H380">
        <f>ROUND(IF(D380&gt;0,D380,),2)</f>
        <v>0</v>
      </c>
      <c r="K380" s="7"/>
      <c r="L380" s="9"/>
      <c r="M380" s="9"/>
      <c r="N380" s="7"/>
      <c r="P380" s="18"/>
      <c r="Q380" s="2"/>
      <c r="R380" s="2"/>
      <c r="AF380" s="14"/>
    </row>
    <row r="381" spans="1:32" customFormat="1" x14ac:dyDescent="0.25">
      <c r="A381" s="9"/>
      <c r="C381" s="14"/>
      <c r="E381" t="str">
        <f>IF(ISNA(VLOOKUP(C381,P:Q,2,0)),"",VLOOKUP(C381,P:Q,2,0))</f>
        <v/>
      </c>
      <c r="F381" s="15" t="str">
        <f>IF(ISNA(VLOOKUP(C381,P:R,3,0)),"",VLOOKUP(C381,P:R,3,0))</f>
        <v/>
      </c>
      <c r="G381">
        <f>ROUND(IF(D381&gt;0,0,ABS(D381)),2)</f>
        <v>0</v>
      </c>
      <c r="H381">
        <f>ROUND(IF(D381&gt;0,D381,),2)</f>
        <v>0</v>
      </c>
      <c r="K381" s="7"/>
      <c r="L381" s="9"/>
      <c r="M381" s="9"/>
      <c r="N381" s="7"/>
      <c r="P381" s="18"/>
      <c r="Q381" s="2"/>
      <c r="R381" s="2"/>
      <c r="AF381" s="14"/>
    </row>
    <row r="382" spans="1:32" customFormat="1" x14ac:dyDescent="0.25">
      <c r="A382" s="9"/>
      <c r="C382" s="14"/>
      <c r="E382" t="str">
        <f>IF(ISNA(VLOOKUP(C382,P:Q,2,0)),"",VLOOKUP(C382,P:Q,2,0))</f>
        <v/>
      </c>
      <c r="F382" s="15" t="str">
        <f>IF(ISNA(VLOOKUP(C382,P:R,3,0)),"",VLOOKUP(C382,P:R,3,0))</f>
        <v/>
      </c>
      <c r="G382">
        <f>ROUND(IF(D382&gt;0,0,ABS(D382)),2)</f>
        <v>0</v>
      </c>
      <c r="H382">
        <f>ROUND(IF(D382&gt;0,D382,),2)</f>
        <v>0</v>
      </c>
      <c r="K382" s="7"/>
      <c r="L382" s="9"/>
      <c r="M382" s="9"/>
      <c r="N382" s="7"/>
      <c r="P382" s="18"/>
      <c r="Q382" s="2"/>
      <c r="R382" s="2"/>
      <c r="AF382" s="14"/>
    </row>
    <row r="383" spans="1:32" customFormat="1" x14ac:dyDescent="0.25">
      <c r="A383" s="9"/>
      <c r="C383" s="14"/>
      <c r="E383" t="str">
        <f>IF(ISNA(VLOOKUP(C383,P:Q,2,0)),"",VLOOKUP(C383,P:Q,2,0))</f>
        <v/>
      </c>
      <c r="F383" s="15" t="str">
        <f>IF(ISNA(VLOOKUP(C383,P:R,3,0)),"",VLOOKUP(C383,P:R,3,0))</f>
        <v/>
      </c>
      <c r="G383">
        <f>ROUND(IF(D383&gt;0,0,ABS(D383)),2)</f>
        <v>0</v>
      </c>
      <c r="H383">
        <f>ROUND(IF(D383&gt;0,D383,),2)</f>
        <v>0</v>
      </c>
      <c r="K383" s="7"/>
      <c r="L383" s="9"/>
      <c r="M383" s="9"/>
      <c r="N383" s="7"/>
      <c r="P383" s="18"/>
      <c r="Q383" s="2"/>
      <c r="R383" s="2"/>
      <c r="AF383" s="14"/>
    </row>
    <row r="384" spans="1:32" customFormat="1" x14ac:dyDescent="0.25">
      <c r="A384" s="9"/>
      <c r="C384" s="14"/>
      <c r="E384" t="str">
        <f>IF(ISNA(VLOOKUP(C384,P:Q,2,0)),"",VLOOKUP(C384,P:Q,2,0))</f>
        <v/>
      </c>
      <c r="F384" s="15" t="str">
        <f>IF(ISNA(VLOOKUP(C384,P:R,3,0)),"",VLOOKUP(C384,P:R,3,0))</f>
        <v/>
      </c>
      <c r="G384">
        <f>ROUND(IF(D384&gt;0,0,ABS(D384)),2)</f>
        <v>0</v>
      </c>
      <c r="H384">
        <f>ROUND(IF(D384&gt;0,D384,),2)</f>
        <v>0</v>
      </c>
      <c r="K384" s="7"/>
      <c r="L384" s="9"/>
      <c r="M384" s="9"/>
      <c r="N384" s="7"/>
      <c r="P384" s="18"/>
      <c r="Q384" s="2"/>
      <c r="R384" s="2"/>
      <c r="AF384" s="14"/>
    </row>
    <row r="385" spans="1:32" customFormat="1" x14ac:dyDescent="0.25">
      <c r="A385" s="9"/>
      <c r="C385" s="14"/>
      <c r="E385" t="str">
        <f>IF(ISNA(VLOOKUP(C385,P:Q,2,0)),"",VLOOKUP(C385,P:Q,2,0))</f>
        <v/>
      </c>
      <c r="F385" s="15" t="str">
        <f>IF(ISNA(VLOOKUP(C385,P:R,3,0)),"",VLOOKUP(C385,P:R,3,0))</f>
        <v/>
      </c>
      <c r="G385">
        <f>ROUND(IF(D385&gt;0,0,ABS(D385)),2)</f>
        <v>0</v>
      </c>
      <c r="H385">
        <f>ROUND(IF(D385&gt;0,D385,),2)</f>
        <v>0</v>
      </c>
      <c r="K385" s="7"/>
      <c r="L385" s="9"/>
      <c r="M385" s="9"/>
      <c r="N385" s="7"/>
      <c r="P385" s="18"/>
      <c r="Q385" s="2"/>
      <c r="R385" s="2"/>
      <c r="AF385" s="14"/>
    </row>
    <row r="386" spans="1:32" customFormat="1" x14ac:dyDescent="0.25">
      <c r="A386" s="9"/>
      <c r="C386" s="14"/>
      <c r="E386" t="str">
        <f>IF(ISNA(VLOOKUP(C386,P:Q,2,0)),"",VLOOKUP(C386,P:Q,2,0))</f>
        <v/>
      </c>
      <c r="F386" s="15" t="str">
        <f>IF(ISNA(VLOOKUP(C386,P:R,3,0)),"",VLOOKUP(C386,P:R,3,0))</f>
        <v/>
      </c>
      <c r="G386">
        <f>ROUND(IF(D386&gt;0,0,ABS(D386)),2)</f>
        <v>0</v>
      </c>
      <c r="H386">
        <f>ROUND(IF(D386&gt;0,D386,),2)</f>
        <v>0</v>
      </c>
      <c r="K386" s="7"/>
      <c r="L386" s="9"/>
      <c r="M386" s="9"/>
      <c r="N386" s="7"/>
      <c r="P386" s="18"/>
      <c r="Q386" s="2"/>
      <c r="R386" s="2"/>
      <c r="AF386" s="14"/>
    </row>
    <row r="387" spans="1:32" customFormat="1" x14ac:dyDescent="0.25">
      <c r="A387" s="9"/>
      <c r="C387" s="14"/>
      <c r="E387" t="str">
        <f>IF(ISNA(VLOOKUP(C387,P:Q,2,0)),"",VLOOKUP(C387,P:Q,2,0))</f>
        <v/>
      </c>
      <c r="F387" s="15" t="str">
        <f>IF(ISNA(VLOOKUP(C387,P:R,3,0)),"",VLOOKUP(C387,P:R,3,0))</f>
        <v/>
      </c>
      <c r="G387">
        <f>ROUND(IF(D387&gt;0,0,ABS(D387)),2)</f>
        <v>0</v>
      </c>
      <c r="H387">
        <f>ROUND(IF(D387&gt;0,D387,),2)</f>
        <v>0</v>
      </c>
      <c r="K387" s="7"/>
      <c r="L387" s="9"/>
      <c r="M387" s="9"/>
      <c r="N387" s="7"/>
      <c r="P387" s="18"/>
      <c r="Q387" s="2"/>
      <c r="R387" s="2"/>
      <c r="AF387" s="14"/>
    </row>
    <row r="388" spans="1:32" customFormat="1" x14ac:dyDescent="0.25">
      <c r="A388" s="9"/>
      <c r="C388" s="14"/>
      <c r="E388" t="str">
        <f>IF(ISNA(VLOOKUP(C388,P:Q,2,0)),"",VLOOKUP(C388,P:Q,2,0))</f>
        <v/>
      </c>
      <c r="F388" s="15" t="str">
        <f>IF(ISNA(VLOOKUP(C388,P:R,3,0)),"",VLOOKUP(C388,P:R,3,0))</f>
        <v/>
      </c>
      <c r="G388">
        <f>ROUND(IF(D388&gt;0,0,ABS(D388)),2)</f>
        <v>0</v>
      </c>
      <c r="H388">
        <f>ROUND(IF(D388&gt;0,D388,),2)</f>
        <v>0</v>
      </c>
      <c r="K388" s="7"/>
      <c r="L388" s="9"/>
      <c r="M388" s="9"/>
      <c r="N388" s="7"/>
      <c r="P388" s="18"/>
      <c r="Q388" s="2"/>
      <c r="R388" s="2"/>
      <c r="AF388" s="14"/>
    </row>
    <row r="389" spans="1:32" customFormat="1" x14ac:dyDescent="0.25">
      <c r="A389" s="9"/>
      <c r="C389" s="14"/>
      <c r="E389" t="str">
        <f>IF(ISNA(VLOOKUP(C389,P:Q,2,0)),"",VLOOKUP(C389,P:Q,2,0))</f>
        <v/>
      </c>
      <c r="F389" s="15" t="str">
        <f>IF(ISNA(VLOOKUP(C389,P:R,3,0)),"",VLOOKUP(C389,P:R,3,0))</f>
        <v/>
      </c>
      <c r="G389">
        <f>ROUND(IF(D389&gt;0,0,ABS(D389)),2)</f>
        <v>0</v>
      </c>
      <c r="H389">
        <f>ROUND(IF(D389&gt;0,D389,),2)</f>
        <v>0</v>
      </c>
      <c r="K389" s="7"/>
      <c r="L389" s="9"/>
      <c r="M389" s="9"/>
      <c r="N389" s="7"/>
      <c r="P389" s="18"/>
      <c r="Q389" s="2"/>
      <c r="R389" s="2"/>
      <c r="AF389" s="14"/>
    </row>
    <row r="390" spans="1:32" customFormat="1" x14ac:dyDescent="0.25">
      <c r="A390" s="9"/>
      <c r="C390" s="14"/>
      <c r="E390" t="str">
        <f>IF(ISNA(VLOOKUP(C390,P:Q,2,0)),"",VLOOKUP(C390,P:Q,2,0))</f>
        <v/>
      </c>
      <c r="F390" s="15" t="str">
        <f>IF(ISNA(VLOOKUP(C390,P:R,3,0)),"",VLOOKUP(C390,P:R,3,0))</f>
        <v/>
      </c>
      <c r="G390">
        <f>ROUND(IF(D390&gt;0,0,ABS(D390)),2)</f>
        <v>0</v>
      </c>
      <c r="H390">
        <f>ROUND(IF(D390&gt;0,D390,),2)</f>
        <v>0</v>
      </c>
      <c r="K390" s="7"/>
      <c r="L390" s="9"/>
      <c r="M390" s="9"/>
      <c r="N390" s="7"/>
      <c r="P390" s="18"/>
      <c r="Q390" s="2"/>
      <c r="R390" s="2"/>
      <c r="AF390" s="14"/>
    </row>
    <row r="391" spans="1:32" customFormat="1" x14ac:dyDescent="0.25">
      <c r="A391" s="9"/>
      <c r="C391" s="14"/>
      <c r="E391" t="str">
        <f>IF(ISNA(VLOOKUP(C391,P:Q,2,0)),"",VLOOKUP(C391,P:Q,2,0))</f>
        <v/>
      </c>
      <c r="F391" s="15" t="str">
        <f>IF(ISNA(VLOOKUP(C391,P:R,3,0)),"",VLOOKUP(C391,P:R,3,0))</f>
        <v/>
      </c>
      <c r="G391">
        <f>ROUND(IF(D391&gt;0,0,ABS(D391)),2)</f>
        <v>0</v>
      </c>
      <c r="H391">
        <f>ROUND(IF(D391&gt;0,D391,),2)</f>
        <v>0</v>
      </c>
      <c r="K391" s="7"/>
      <c r="L391" s="9"/>
      <c r="M391" s="9"/>
      <c r="N391" s="7"/>
      <c r="P391" s="18"/>
      <c r="Q391" s="2"/>
      <c r="R391" s="2"/>
      <c r="AF391" s="14"/>
    </row>
    <row r="392" spans="1:32" customFormat="1" x14ac:dyDescent="0.25">
      <c r="A392" s="9"/>
      <c r="C392" s="14"/>
      <c r="E392" t="str">
        <f>IF(ISNA(VLOOKUP(C392,P:Q,2,0)),"",VLOOKUP(C392,P:Q,2,0))</f>
        <v/>
      </c>
      <c r="F392" s="15" t="str">
        <f>IF(ISNA(VLOOKUP(C392,P:R,3,0)),"",VLOOKUP(C392,P:R,3,0))</f>
        <v/>
      </c>
      <c r="G392">
        <f>ROUND(IF(D392&gt;0,0,ABS(D392)),2)</f>
        <v>0</v>
      </c>
      <c r="H392">
        <f>ROUND(IF(D392&gt;0,D392,),2)</f>
        <v>0</v>
      </c>
      <c r="K392" s="7"/>
      <c r="L392" s="9"/>
      <c r="M392" s="9"/>
      <c r="N392" s="7"/>
      <c r="P392" s="18"/>
      <c r="Q392" s="2"/>
      <c r="R392" s="2"/>
      <c r="AF392" s="14"/>
    </row>
    <row r="393" spans="1:32" customFormat="1" x14ac:dyDescent="0.25">
      <c r="A393" s="9"/>
      <c r="C393" s="14"/>
      <c r="E393" t="str">
        <f>IF(ISNA(VLOOKUP(C393,P:Q,2,0)),"",VLOOKUP(C393,P:Q,2,0))</f>
        <v/>
      </c>
      <c r="F393" s="15" t="str">
        <f>IF(ISNA(VLOOKUP(C393,P:R,3,0)),"",VLOOKUP(C393,P:R,3,0))</f>
        <v/>
      </c>
      <c r="G393">
        <f>ROUND(IF(D393&gt;0,0,ABS(D393)),2)</f>
        <v>0</v>
      </c>
      <c r="H393">
        <f>ROUND(IF(D393&gt;0,D393,),2)</f>
        <v>0</v>
      </c>
      <c r="K393" s="7"/>
      <c r="L393" s="9"/>
      <c r="M393" s="9"/>
      <c r="N393" s="7"/>
      <c r="P393" s="18"/>
      <c r="Q393" s="2"/>
      <c r="R393" s="2"/>
      <c r="AF393" s="14"/>
    </row>
    <row r="394" spans="1:32" customFormat="1" x14ac:dyDescent="0.25">
      <c r="A394" s="9"/>
      <c r="C394" s="14"/>
      <c r="E394" t="str">
        <f>IF(ISNA(VLOOKUP(C394,P:Q,2,0)),"",VLOOKUP(C394,P:Q,2,0))</f>
        <v/>
      </c>
      <c r="F394" s="15" t="str">
        <f>IF(ISNA(VLOOKUP(C394,P:R,3,0)),"",VLOOKUP(C394,P:R,3,0))</f>
        <v/>
      </c>
      <c r="G394">
        <f>ROUND(IF(D394&gt;0,0,ABS(D394)),2)</f>
        <v>0</v>
      </c>
      <c r="H394">
        <f>ROUND(IF(D394&gt;0,D394,),2)</f>
        <v>0</v>
      </c>
      <c r="K394" s="7"/>
      <c r="L394" s="9"/>
      <c r="M394" s="9"/>
      <c r="N394" s="7"/>
      <c r="P394" s="18"/>
      <c r="Q394" s="2"/>
      <c r="R394" s="2"/>
      <c r="AF394" s="14"/>
    </row>
    <row r="395" spans="1:32" customFormat="1" x14ac:dyDescent="0.25">
      <c r="A395" s="9"/>
      <c r="C395" s="14"/>
      <c r="E395" t="str">
        <f>IF(ISNA(VLOOKUP(C395,P:Q,2,0)),"",VLOOKUP(C395,P:Q,2,0))</f>
        <v/>
      </c>
      <c r="F395" s="15" t="str">
        <f>IF(ISNA(VLOOKUP(C395,P:R,3,0)),"",VLOOKUP(C395,P:R,3,0))</f>
        <v/>
      </c>
      <c r="G395">
        <f>ROUND(IF(D395&gt;0,0,ABS(D395)),2)</f>
        <v>0</v>
      </c>
      <c r="H395">
        <f>ROUND(IF(D395&gt;0,D395,),2)</f>
        <v>0</v>
      </c>
      <c r="K395" s="7"/>
      <c r="L395" s="9"/>
      <c r="M395" s="9"/>
      <c r="N395" s="7"/>
      <c r="P395" s="18"/>
      <c r="Q395" s="2"/>
      <c r="R395" s="2"/>
      <c r="AF395" s="14"/>
    </row>
    <row r="396" spans="1:32" customFormat="1" x14ac:dyDescent="0.25">
      <c r="A396" s="9"/>
      <c r="C396" s="14"/>
      <c r="E396" t="str">
        <f>IF(ISNA(VLOOKUP(C396,P:Q,2,0)),"",VLOOKUP(C396,P:Q,2,0))</f>
        <v/>
      </c>
      <c r="F396" s="15" t="str">
        <f>IF(ISNA(VLOOKUP(C396,P:R,3,0)),"",VLOOKUP(C396,P:R,3,0))</f>
        <v/>
      </c>
      <c r="G396">
        <f>ROUND(IF(D396&gt;0,0,ABS(D396)),2)</f>
        <v>0</v>
      </c>
      <c r="H396">
        <f>ROUND(IF(D396&gt;0,D396,),2)</f>
        <v>0</v>
      </c>
      <c r="K396" s="7"/>
      <c r="L396" s="9"/>
      <c r="M396" s="9"/>
      <c r="N396" s="7"/>
      <c r="P396" s="18"/>
      <c r="Q396" s="2"/>
      <c r="R396" s="2"/>
      <c r="AF396" s="14"/>
    </row>
    <row r="397" spans="1:32" customFormat="1" x14ac:dyDescent="0.25">
      <c r="A397" s="9"/>
      <c r="C397" s="14"/>
      <c r="E397" t="str">
        <f>IF(ISNA(VLOOKUP(C397,P:Q,2,0)),"",VLOOKUP(C397,P:Q,2,0))</f>
        <v/>
      </c>
      <c r="F397" s="15" t="str">
        <f>IF(ISNA(VLOOKUP(C397,P:R,3,0)),"",VLOOKUP(C397,P:R,3,0))</f>
        <v/>
      </c>
      <c r="G397">
        <f>ROUND(IF(D397&gt;0,0,ABS(D397)),2)</f>
        <v>0</v>
      </c>
      <c r="H397">
        <f>ROUND(IF(D397&gt;0,D397,),2)</f>
        <v>0</v>
      </c>
      <c r="K397" s="7"/>
      <c r="L397" s="9"/>
      <c r="M397" s="9"/>
      <c r="N397" s="7"/>
      <c r="P397" s="18"/>
      <c r="Q397" s="2"/>
      <c r="R397" s="2"/>
      <c r="AF397" s="14"/>
    </row>
    <row r="398" spans="1:32" customFormat="1" x14ac:dyDescent="0.25">
      <c r="A398" s="9"/>
      <c r="C398" s="14"/>
      <c r="E398" t="str">
        <f>IF(ISNA(VLOOKUP(C398,P:Q,2,0)),"",VLOOKUP(C398,P:Q,2,0))</f>
        <v/>
      </c>
      <c r="F398" s="15" t="str">
        <f>IF(ISNA(VLOOKUP(C398,P:R,3,0)),"",VLOOKUP(C398,P:R,3,0))</f>
        <v/>
      </c>
      <c r="G398">
        <f>ROUND(IF(D398&gt;0,0,ABS(D398)),2)</f>
        <v>0</v>
      </c>
      <c r="H398">
        <f>ROUND(IF(D398&gt;0,D398,),2)</f>
        <v>0</v>
      </c>
      <c r="K398" s="7"/>
      <c r="L398" s="9"/>
      <c r="M398" s="9"/>
      <c r="N398" s="7"/>
      <c r="P398" s="18"/>
      <c r="Q398" s="2"/>
      <c r="R398" s="2"/>
      <c r="AF398" s="14"/>
    </row>
    <row r="399" spans="1:32" customFormat="1" x14ac:dyDescent="0.25">
      <c r="A399" s="9"/>
      <c r="C399" s="14"/>
      <c r="E399" t="str">
        <f>IF(ISNA(VLOOKUP(C399,P:Q,2,0)),"",VLOOKUP(C399,P:Q,2,0))</f>
        <v/>
      </c>
      <c r="F399" s="15" t="str">
        <f>IF(ISNA(VLOOKUP(C399,P:R,3,0)),"",VLOOKUP(C399,P:R,3,0))</f>
        <v/>
      </c>
      <c r="G399">
        <f>ROUND(IF(D399&gt;0,0,ABS(D399)),2)</f>
        <v>0</v>
      </c>
      <c r="H399">
        <f>ROUND(IF(D399&gt;0,D399,),2)</f>
        <v>0</v>
      </c>
      <c r="K399" s="7"/>
      <c r="L399" s="9"/>
      <c r="M399" s="9"/>
      <c r="N399" s="7"/>
      <c r="P399" s="18"/>
      <c r="Q399" s="2"/>
      <c r="R399" s="2"/>
      <c r="AF399" s="14"/>
    </row>
    <row r="400" spans="1:32" customFormat="1" x14ac:dyDescent="0.25">
      <c r="A400" s="9"/>
      <c r="C400" s="14"/>
      <c r="E400" t="str">
        <f>IF(ISNA(VLOOKUP(C400,P:Q,2,0)),"",VLOOKUP(C400,P:Q,2,0))</f>
        <v/>
      </c>
      <c r="F400" s="15" t="str">
        <f>IF(ISNA(VLOOKUP(C400,P:R,3,0)),"",VLOOKUP(C400,P:R,3,0))</f>
        <v/>
      </c>
      <c r="G400">
        <f>ROUND(IF(D400&gt;0,0,ABS(D400)),2)</f>
        <v>0</v>
      </c>
      <c r="H400">
        <f>ROUND(IF(D400&gt;0,D400,),2)</f>
        <v>0</v>
      </c>
      <c r="K400" s="7"/>
      <c r="L400" s="9"/>
      <c r="M400" s="9"/>
      <c r="N400" s="7"/>
      <c r="P400" s="18"/>
      <c r="Q400" s="2"/>
      <c r="R400" s="2"/>
      <c r="AF400" s="14"/>
    </row>
    <row r="401" spans="1:32" customFormat="1" x14ac:dyDescent="0.25">
      <c r="A401" s="9"/>
      <c r="C401" s="14"/>
      <c r="E401" t="str">
        <f>IF(ISNA(VLOOKUP(C401,P:Q,2,0)),"",VLOOKUP(C401,P:Q,2,0))</f>
        <v/>
      </c>
      <c r="F401" s="15" t="str">
        <f>IF(ISNA(VLOOKUP(C401,P:R,3,0)),"",VLOOKUP(C401,P:R,3,0))</f>
        <v/>
      </c>
      <c r="G401">
        <f>ROUND(IF(D401&gt;0,0,ABS(D401)),2)</f>
        <v>0</v>
      </c>
      <c r="H401">
        <f>ROUND(IF(D401&gt;0,D401,),2)</f>
        <v>0</v>
      </c>
      <c r="K401" s="7"/>
      <c r="L401" s="9"/>
      <c r="M401" s="9"/>
      <c r="N401" s="7"/>
      <c r="P401" s="18"/>
      <c r="Q401" s="2"/>
      <c r="R401" s="2"/>
      <c r="AF401" s="14"/>
    </row>
    <row r="402" spans="1:32" customFormat="1" x14ac:dyDescent="0.25">
      <c r="A402" s="9"/>
      <c r="C402" s="14"/>
      <c r="E402" t="str">
        <f>IF(ISNA(VLOOKUP(C402,P:Q,2,0)),"",VLOOKUP(C402,P:Q,2,0))</f>
        <v/>
      </c>
      <c r="F402" s="15" t="str">
        <f>IF(ISNA(VLOOKUP(C402,P:R,3,0)),"",VLOOKUP(C402,P:R,3,0))</f>
        <v/>
      </c>
      <c r="G402">
        <f>ROUND(IF(D402&gt;0,0,ABS(D402)),2)</f>
        <v>0</v>
      </c>
      <c r="H402">
        <f>ROUND(IF(D402&gt;0,D402,),2)</f>
        <v>0</v>
      </c>
      <c r="K402" s="7"/>
      <c r="L402" s="9"/>
      <c r="M402" s="9"/>
      <c r="N402" s="7"/>
      <c r="P402" s="18"/>
      <c r="Q402" s="2"/>
      <c r="R402" s="2"/>
      <c r="AF402" s="14"/>
    </row>
    <row r="403" spans="1:32" customFormat="1" x14ac:dyDescent="0.25">
      <c r="A403" s="9"/>
      <c r="C403" s="14"/>
      <c r="E403" t="str">
        <f>IF(ISNA(VLOOKUP(C403,P:Q,2,0)),"",VLOOKUP(C403,P:Q,2,0))</f>
        <v/>
      </c>
      <c r="F403" s="15" t="str">
        <f>IF(ISNA(VLOOKUP(C403,P:R,3,0)),"",VLOOKUP(C403,P:R,3,0))</f>
        <v/>
      </c>
      <c r="G403">
        <f>ROUND(IF(D403&gt;0,0,ABS(D403)),2)</f>
        <v>0</v>
      </c>
      <c r="H403">
        <f>ROUND(IF(D403&gt;0,D403,),2)</f>
        <v>0</v>
      </c>
      <c r="K403" s="7"/>
      <c r="L403" s="9"/>
      <c r="M403" s="9"/>
      <c r="N403" s="7"/>
      <c r="P403" s="18"/>
      <c r="Q403" s="2"/>
      <c r="R403" s="2"/>
      <c r="AF403" s="14"/>
    </row>
    <row r="404" spans="1:32" customFormat="1" x14ac:dyDescent="0.25">
      <c r="A404" s="9"/>
      <c r="C404" s="14"/>
      <c r="E404" t="str">
        <f>IF(ISNA(VLOOKUP(C404,P:Q,2,0)),"",VLOOKUP(C404,P:Q,2,0))</f>
        <v/>
      </c>
      <c r="F404" s="15" t="str">
        <f>IF(ISNA(VLOOKUP(C404,P:R,3,0)),"",VLOOKUP(C404,P:R,3,0))</f>
        <v/>
      </c>
      <c r="G404">
        <f>ROUND(IF(D404&gt;0,0,ABS(D404)),2)</f>
        <v>0</v>
      </c>
      <c r="H404">
        <f>ROUND(IF(D404&gt;0,D404,),2)</f>
        <v>0</v>
      </c>
      <c r="K404" s="7"/>
      <c r="L404" s="9"/>
      <c r="M404" s="9"/>
      <c r="N404" s="7"/>
      <c r="P404" s="18"/>
      <c r="Q404" s="2"/>
      <c r="R404" s="2"/>
      <c r="AF404" s="14"/>
    </row>
    <row r="405" spans="1:32" customFormat="1" x14ac:dyDescent="0.25">
      <c r="A405" s="9"/>
      <c r="C405" s="14"/>
      <c r="E405" t="str">
        <f>IF(ISNA(VLOOKUP(C405,P:Q,2,0)),"",VLOOKUP(C405,P:Q,2,0))</f>
        <v/>
      </c>
      <c r="F405" s="15" t="str">
        <f>IF(ISNA(VLOOKUP(C405,P:R,3,0)),"",VLOOKUP(C405,P:R,3,0))</f>
        <v/>
      </c>
      <c r="G405">
        <f>ROUND(IF(D405&gt;0,0,ABS(D405)),2)</f>
        <v>0</v>
      </c>
      <c r="H405">
        <f>ROUND(IF(D405&gt;0,D405,),2)</f>
        <v>0</v>
      </c>
      <c r="K405" s="7"/>
      <c r="L405" s="9"/>
      <c r="M405" s="9"/>
      <c r="N405" s="7"/>
      <c r="P405" s="18"/>
      <c r="Q405" s="2"/>
      <c r="R405" s="2"/>
      <c r="AF405" s="14"/>
    </row>
    <row r="406" spans="1:32" customFormat="1" x14ac:dyDescent="0.25">
      <c r="A406" s="9"/>
      <c r="C406" s="14"/>
      <c r="E406" t="str">
        <f>IF(ISNA(VLOOKUP(C406,P:Q,2,0)),"",VLOOKUP(C406,P:Q,2,0))</f>
        <v/>
      </c>
      <c r="F406" s="15" t="str">
        <f>IF(ISNA(VLOOKUP(C406,P:R,3,0)),"",VLOOKUP(C406,P:R,3,0))</f>
        <v/>
      </c>
      <c r="G406">
        <f>ROUND(IF(D406&gt;0,0,ABS(D406)),2)</f>
        <v>0</v>
      </c>
      <c r="H406">
        <f>ROUND(IF(D406&gt;0,D406,),2)</f>
        <v>0</v>
      </c>
      <c r="K406" s="7"/>
      <c r="L406" s="9"/>
      <c r="M406" s="9"/>
      <c r="N406" s="7"/>
      <c r="P406" s="18"/>
      <c r="Q406" s="2"/>
      <c r="R406" s="2"/>
      <c r="AF406" s="14"/>
    </row>
    <row r="407" spans="1:32" customFormat="1" x14ac:dyDescent="0.25">
      <c r="A407" s="9"/>
      <c r="C407" s="14"/>
      <c r="E407" t="str">
        <f>IF(ISNA(VLOOKUP(C407,P:Q,2,0)),"",VLOOKUP(C407,P:Q,2,0))</f>
        <v/>
      </c>
      <c r="F407" s="15" t="str">
        <f>IF(ISNA(VLOOKUP(C407,P:R,3,0)),"",VLOOKUP(C407,P:R,3,0))</f>
        <v/>
      </c>
      <c r="G407">
        <f>ROUND(IF(D407&gt;0,0,ABS(D407)),2)</f>
        <v>0</v>
      </c>
      <c r="H407">
        <f>ROUND(IF(D407&gt;0,D407,),2)</f>
        <v>0</v>
      </c>
      <c r="K407" s="7"/>
      <c r="L407" s="9"/>
      <c r="M407" s="9"/>
      <c r="N407" s="7"/>
      <c r="P407" s="18"/>
      <c r="Q407" s="2"/>
      <c r="R407" s="2"/>
      <c r="AF407" s="14"/>
    </row>
    <row r="408" spans="1:32" customFormat="1" x14ac:dyDescent="0.25">
      <c r="A408" s="9"/>
      <c r="C408" s="14"/>
      <c r="E408" t="str">
        <f>IF(ISNA(VLOOKUP(C408,P:Q,2,0)),"",VLOOKUP(C408,P:Q,2,0))</f>
        <v/>
      </c>
      <c r="F408" s="15" t="str">
        <f>IF(ISNA(VLOOKUP(C408,P:R,3,0)),"",VLOOKUP(C408,P:R,3,0))</f>
        <v/>
      </c>
      <c r="G408">
        <f>ROUND(IF(D408&gt;0,0,ABS(D408)),2)</f>
        <v>0</v>
      </c>
      <c r="H408">
        <f>ROUND(IF(D408&gt;0,D408,),2)</f>
        <v>0</v>
      </c>
      <c r="K408" s="7"/>
      <c r="L408" s="9"/>
      <c r="M408" s="9"/>
      <c r="N408" s="7"/>
      <c r="P408" s="18"/>
      <c r="Q408" s="2"/>
      <c r="R408" s="2"/>
      <c r="AF408" s="14"/>
    </row>
    <row r="409" spans="1:32" customFormat="1" x14ac:dyDescent="0.25">
      <c r="A409" s="9"/>
      <c r="C409" s="14"/>
      <c r="E409" t="str">
        <f>IF(ISNA(VLOOKUP(C409,P:Q,2,0)),"",VLOOKUP(C409,P:Q,2,0))</f>
        <v/>
      </c>
      <c r="F409" s="15" t="str">
        <f>IF(ISNA(VLOOKUP(C409,P:R,3,0)),"",VLOOKUP(C409,P:R,3,0))</f>
        <v/>
      </c>
      <c r="G409">
        <f>ROUND(IF(D409&gt;0,0,ABS(D409)),2)</f>
        <v>0</v>
      </c>
      <c r="H409">
        <f>ROUND(IF(D409&gt;0,D409,),2)</f>
        <v>0</v>
      </c>
      <c r="K409" s="7"/>
      <c r="L409" s="9"/>
      <c r="M409" s="9"/>
      <c r="N409" s="7"/>
      <c r="P409" s="18"/>
      <c r="Q409" s="2"/>
      <c r="R409" s="2"/>
      <c r="AF409" s="14"/>
    </row>
    <row r="410" spans="1:32" customFormat="1" x14ac:dyDescent="0.25">
      <c r="A410" s="9"/>
      <c r="C410" s="14"/>
      <c r="E410" t="str">
        <f>IF(ISNA(VLOOKUP(C410,P:Q,2,0)),"",VLOOKUP(C410,P:Q,2,0))</f>
        <v/>
      </c>
      <c r="F410" s="15" t="str">
        <f>IF(ISNA(VLOOKUP(C410,P:R,3,0)),"",VLOOKUP(C410,P:R,3,0))</f>
        <v/>
      </c>
      <c r="G410">
        <f>ROUND(IF(D410&gt;0,0,ABS(D410)),2)</f>
        <v>0</v>
      </c>
      <c r="H410">
        <f>ROUND(IF(D410&gt;0,D410,),2)</f>
        <v>0</v>
      </c>
      <c r="K410" s="7"/>
      <c r="L410" s="9"/>
      <c r="M410" s="9"/>
      <c r="N410" s="7"/>
      <c r="P410" s="18"/>
      <c r="Q410" s="2"/>
      <c r="R410" s="2"/>
      <c r="AF410" s="14"/>
    </row>
    <row r="411" spans="1:32" customFormat="1" x14ac:dyDescent="0.25">
      <c r="A411" s="9"/>
      <c r="C411" s="14"/>
      <c r="E411" t="str">
        <f>IF(ISNA(VLOOKUP(C411,P:Q,2,0)),"",VLOOKUP(C411,P:Q,2,0))</f>
        <v/>
      </c>
      <c r="F411" s="15" t="str">
        <f>IF(ISNA(VLOOKUP(C411,P:R,3,0)),"",VLOOKUP(C411,P:R,3,0))</f>
        <v/>
      </c>
      <c r="G411">
        <f>ROUND(IF(D411&gt;0,0,ABS(D411)),2)</f>
        <v>0</v>
      </c>
      <c r="H411">
        <f>ROUND(IF(D411&gt;0,D411,),2)</f>
        <v>0</v>
      </c>
      <c r="K411" s="7"/>
      <c r="L411" s="9"/>
      <c r="M411" s="9"/>
      <c r="N411" s="7"/>
      <c r="P411" s="18"/>
      <c r="Q411" s="2"/>
      <c r="R411" s="2"/>
      <c r="AF411" s="14"/>
    </row>
    <row r="412" spans="1:32" customFormat="1" x14ac:dyDescent="0.25">
      <c r="A412" s="9"/>
      <c r="C412" s="14"/>
      <c r="E412" t="str">
        <f>IF(ISNA(VLOOKUP(C412,P:Q,2,0)),"",VLOOKUP(C412,P:Q,2,0))</f>
        <v/>
      </c>
      <c r="F412" s="15" t="str">
        <f>IF(ISNA(VLOOKUP(C412,P:R,3,0)),"",VLOOKUP(C412,P:R,3,0))</f>
        <v/>
      </c>
      <c r="G412">
        <f>ROUND(IF(D412&gt;0,0,ABS(D412)),2)</f>
        <v>0</v>
      </c>
      <c r="H412">
        <f>ROUND(IF(D412&gt;0,D412,),2)</f>
        <v>0</v>
      </c>
      <c r="K412" s="7"/>
      <c r="L412" s="9"/>
      <c r="M412" s="9"/>
      <c r="N412" s="7"/>
      <c r="P412" s="18"/>
      <c r="Q412" s="2"/>
      <c r="R412" s="2"/>
      <c r="AF412" s="14"/>
    </row>
    <row r="413" spans="1:32" customFormat="1" x14ac:dyDescent="0.25">
      <c r="A413" s="9"/>
      <c r="C413" s="14"/>
      <c r="E413" t="str">
        <f>IF(ISNA(VLOOKUP(C413,P:Q,2,0)),"",VLOOKUP(C413,P:Q,2,0))</f>
        <v/>
      </c>
      <c r="F413" s="15" t="str">
        <f>IF(ISNA(VLOOKUP(C413,P:R,3,0)),"",VLOOKUP(C413,P:R,3,0))</f>
        <v/>
      </c>
      <c r="G413">
        <f>ROUND(IF(D413&gt;0,0,ABS(D413)),2)</f>
        <v>0</v>
      </c>
      <c r="H413">
        <f>ROUND(IF(D413&gt;0,D413,),2)</f>
        <v>0</v>
      </c>
      <c r="K413" s="7"/>
      <c r="L413" s="9"/>
      <c r="M413" s="9"/>
      <c r="N413" s="7"/>
      <c r="P413" s="18"/>
      <c r="Q413" s="2"/>
      <c r="R413" s="2"/>
      <c r="AF413" s="14"/>
    </row>
    <row r="414" spans="1:32" customFormat="1" x14ac:dyDescent="0.25">
      <c r="A414" s="9"/>
      <c r="C414" s="14"/>
      <c r="E414" t="str">
        <f>IF(ISNA(VLOOKUP(C414,P:Q,2,0)),"",VLOOKUP(C414,P:Q,2,0))</f>
        <v/>
      </c>
      <c r="F414" s="15" t="str">
        <f>IF(ISNA(VLOOKUP(C414,P:R,3,0)),"",VLOOKUP(C414,P:R,3,0))</f>
        <v/>
      </c>
      <c r="G414">
        <f>ROUND(IF(D414&gt;0,0,ABS(D414)),2)</f>
        <v>0</v>
      </c>
      <c r="H414">
        <f>ROUND(IF(D414&gt;0,D414,),2)</f>
        <v>0</v>
      </c>
      <c r="K414" s="7"/>
      <c r="L414" s="9"/>
      <c r="M414" s="9"/>
      <c r="N414" s="7"/>
      <c r="P414" s="18"/>
      <c r="Q414" s="2"/>
      <c r="R414" s="2"/>
      <c r="AF414" s="14"/>
    </row>
    <row r="415" spans="1:32" customFormat="1" x14ac:dyDescent="0.25">
      <c r="A415" s="9"/>
      <c r="C415" s="14"/>
      <c r="E415" t="str">
        <f>IF(ISNA(VLOOKUP(C415,P:Q,2,0)),"",VLOOKUP(C415,P:Q,2,0))</f>
        <v/>
      </c>
      <c r="F415" s="15" t="str">
        <f>IF(ISNA(VLOOKUP(C415,P:R,3,0)),"",VLOOKUP(C415,P:R,3,0))</f>
        <v/>
      </c>
      <c r="G415">
        <f>ROUND(IF(D415&gt;0,0,ABS(D415)),2)</f>
        <v>0</v>
      </c>
      <c r="H415">
        <f>ROUND(IF(D415&gt;0,D415,),2)</f>
        <v>0</v>
      </c>
      <c r="K415" s="7"/>
      <c r="L415" s="9"/>
      <c r="M415" s="9"/>
      <c r="N415" s="7"/>
      <c r="P415" s="18"/>
      <c r="Q415" s="2"/>
      <c r="R415" s="2"/>
      <c r="AF415" s="14"/>
    </row>
    <row r="416" spans="1:32" customFormat="1" x14ac:dyDescent="0.25">
      <c r="A416" s="9"/>
      <c r="C416" s="14"/>
      <c r="E416" t="str">
        <f>IF(ISNA(VLOOKUP(C416,P:Q,2,0)),"",VLOOKUP(C416,P:Q,2,0))</f>
        <v/>
      </c>
      <c r="F416" s="15" t="str">
        <f>IF(ISNA(VLOOKUP(C416,P:R,3,0)),"",VLOOKUP(C416,P:R,3,0))</f>
        <v/>
      </c>
      <c r="G416">
        <f>ROUND(IF(D416&gt;0,0,ABS(D416)),2)</f>
        <v>0</v>
      </c>
      <c r="H416">
        <f>ROUND(IF(D416&gt;0,D416,),2)</f>
        <v>0</v>
      </c>
      <c r="K416" s="7"/>
      <c r="L416" s="9"/>
      <c r="M416" s="9"/>
      <c r="N416" s="7"/>
      <c r="P416" s="18"/>
      <c r="Q416" s="2"/>
      <c r="R416" s="2"/>
      <c r="AF416" s="14"/>
    </row>
    <row r="417" spans="1:32" customFormat="1" x14ac:dyDescent="0.25">
      <c r="A417" s="9"/>
      <c r="C417" s="14"/>
      <c r="E417" t="str">
        <f>IF(ISNA(VLOOKUP(C417,P:Q,2,0)),"",VLOOKUP(C417,P:Q,2,0))</f>
        <v/>
      </c>
      <c r="F417" s="15" t="str">
        <f>IF(ISNA(VLOOKUP(C417,P:R,3,0)),"",VLOOKUP(C417,P:R,3,0))</f>
        <v/>
      </c>
      <c r="G417">
        <f>ROUND(IF(D417&gt;0,0,ABS(D417)),2)</f>
        <v>0</v>
      </c>
      <c r="H417">
        <f>ROUND(IF(D417&gt;0,D417,),2)</f>
        <v>0</v>
      </c>
      <c r="K417" s="7"/>
      <c r="L417" s="9"/>
      <c r="M417" s="9"/>
      <c r="N417" s="7"/>
      <c r="P417" s="18"/>
      <c r="Q417" s="2"/>
      <c r="R417" s="2"/>
      <c r="AF417" s="14"/>
    </row>
    <row r="418" spans="1:32" customFormat="1" x14ac:dyDescent="0.25">
      <c r="A418" s="9"/>
      <c r="C418" s="14"/>
      <c r="E418" t="str">
        <f>IF(ISNA(VLOOKUP(C418,P:Q,2,0)),"",VLOOKUP(C418,P:Q,2,0))</f>
        <v/>
      </c>
      <c r="F418" s="15" t="str">
        <f>IF(ISNA(VLOOKUP(C418,P:R,3,0)),"",VLOOKUP(C418,P:R,3,0))</f>
        <v/>
      </c>
      <c r="G418">
        <f>ROUND(IF(D418&gt;0,0,ABS(D418)),2)</f>
        <v>0</v>
      </c>
      <c r="H418">
        <f>ROUND(IF(D418&gt;0,D418,),2)</f>
        <v>0</v>
      </c>
      <c r="K418" s="7"/>
      <c r="L418" s="9"/>
      <c r="M418" s="9"/>
      <c r="N418" s="7"/>
      <c r="P418" s="18"/>
      <c r="Q418" s="2"/>
      <c r="R418" s="2"/>
      <c r="AF418" s="14"/>
    </row>
    <row r="419" spans="1:32" customFormat="1" x14ac:dyDescent="0.25">
      <c r="A419" s="9"/>
      <c r="C419" s="14"/>
      <c r="E419" t="str">
        <f>IF(ISNA(VLOOKUP(C419,P:Q,2,0)),"",VLOOKUP(C419,P:Q,2,0))</f>
        <v/>
      </c>
      <c r="F419" s="15" t="str">
        <f>IF(ISNA(VLOOKUP(C419,P:R,3,0)),"",VLOOKUP(C419,P:R,3,0))</f>
        <v/>
      </c>
      <c r="G419">
        <f>ROUND(IF(D419&gt;0,0,ABS(D419)),2)</f>
        <v>0</v>
      </c>
      <c r="H419">
        <f>ROUND(IF(D419&gt;0,D419,),2)</f>
        <v>0</v>
      </c>
      <c r="K419" s="7"/>
      <c r="L419" s="9"/>
      <c r="M419" s="9"/>
      <c r="N419" s="7"/>
      <c r="P419" s="18"/>
      <c r="Q419" s="2"/>
      <c r="R419" s="2"/>
      <c r="AF419" s="14"/>
    </row>
    <row r="420" spans="1:32" customFormat="1" x14ac:dyDescent="0.25">
      <c r="A420" s="9"/>
      <c r="C420" s="14"/>
      <c r="E420" t="str">
        <f>IF(ISNA(VLOOKUP(C420,P:Q,2,0)),"",VLOOKUP(C420,P:Q,2,0))</f>
        <v/>
      </c>
      <c r="F420" s="15" t="str">
        <f>IF(ISNA(VLOOKUP(C420,P:R,3,0)),"",VLOOKUP(C420,P:R,3,0))</f>
        <v/>
      </c>
      <c r="G420">
        <f>ROUND(IF(D420&gt;0,0,ABS(D420)),2)</f>
        <v>0</v>
      </c>
      <c r="H420">
        <f>ROUND(IF(D420&gt;0,D420,),2)</f>
        <v>0</v>
      </c>
      <c r="K420" s="7"/>
      <c r="L420" s="9"/>
      <c r="M420" s="9"/>
      <c r="N420" s="7"/>
      <c r="P420" s="18"/>
      <c r="Q420" s="2"/>
      <c r="R420" s="2"/>
      <c r="AF420" s="14"/>
    </row>
    <row r="421" spans="1:32" customFormat="1" x14ac:dyDescent="0.25">
      <c r="A421" s="9"/>
      <c r="C421" s="14"/>
      <c r="E421" t="str">
        <f>IF(ISNA(VLOOKUP(C421,P:Q,2,0)),"",VLOOKUP(C421,P:Q,2,0))</f>
        <v/>
      </c>
      <c r="F421" s="15" t="str">
        <f>IF(ISNA(VLOOKUP(C421,P:R,3,0)),"",VLOOKUP(C421,P:R,3,0))</f>
        <v/>
      </c>
      <c r="G421">
        <f>ROUND(IF(D421&gt;0,0,ABS(D421)),2)</f>
        <v>0</v>
      </c>
      <c r="H421">
        <f>ROUND(IF(D421&gt;0,D421,),2)</f>
        <v>0</v>
      </c>
      <c r="K421" s="7"/>
      <c r="L421" s="9"/>
      <c r="M421" s="9"/>
      <c r="N421" s="7"/>
      <c r="P421" s="18"/>
      <c r="Q421" s="2"/>
      <c r="R421" s="2"/>
      <c r="AF421" s="14"/>
    </row>
    <row r="422" spans="1:32" customFormat="1" x14ac:dyDescent="0.25">
      <c r="A422" s="9"/>
      <c r="C422" s="14"/>
      <c r="E422" t="str">
        <f>IF(ISNA(VLOOKUP(C422,P:Q,2,0)),"",VLOOKUP(C422,P:Q,2,0))</f>
        <v/>
      </c>
      <c r="F422" s="15" t="str">
        <f>IF(ISNA(VLOOKUP(C422,P:R,3,0)),"",VLOOKUP(C422,P:R,3,0))</f>
        <v/>
      </c>
      <c r="G422">
        <f>ROUND(IF(D422&gt;0,0,ABS(D422)),2)</f>
        <v>0</v>
      </c>
      <c r="H422">
        <f>ROUND(IF(D422&gt;0,D422,),2)</f>
        <v>0</v>
      </c>
      <c r="K422" s="7"/>
      <c r="L422" s="9"/>
      <c r="M422" s="9"/>
      <c r="N422" s="7"/>
      <c r="P422" s="18"/>
      <c r="Q422" s="2"/>
      <c r="R422" s="2"/>
      <c r="AF422" s="14"/>
    </row>
    <row r="423" spans="1:32" customFormat="1" x14ac:dyDescent="0.25">
      <c r="A423" s="9"/>
      <c r="C423" s="14"/>
      <c r="E423" t="str">
        <f>IF(ISNA(VLOOKUP(C423,P:Q,2,0)),"",VLOOKUP(C423,P:Q,2,0))</f>
        <v/>
      </c>
      <c r="F423" s="15" t="str">
        <f>IF(ISNA(VLOOKUP(C423,P:R,3,0)),"",VLOOKUP(C423,P:R,3,0))</f>
        <v/>
      </c>
      <c r="G423">
        <f>ROUND(IF(D423&gt;0,0,ABS(D423)),2)</f>
        <v>0</v>
      </c>
      <c r="H423">
        <f>ROUND(IF(D423&gt;0,D423,),2)</f>
        <v>0</v>
      </c>
      <c r="K423" s="7"/>
      <c r="L423" s="9"/>
      <c r="M423" s="9"/>
      <c r="N423" s="7"/>
      <c r="P423" s="18"/>
      <c r="Q423" s="2"/>
      <c r="R423" s="2"/>
      <c r="AF423" s="14"/>
    </row>
    <row r="424" spans="1:32" customFormat="1" x14ac:dyDescent="0.25">
      <c r="A424" s="9"/>
      <c r="C424" s="14"/>
      <c r="E424" t="str">
        <f>IF(ISNA(VLOOKUP(C424,P:Q,2,0)),"",VLOOKUP(C424,P:Q,2,0))</f>
        <v/>
      </c>
      <c r="F424" s="15" t="str">
        <f>IF(ISNA(VLOOKUP(C424,P:R,3,0)),"",VLOOKUP(C424,P:R,3,0))</f>
        <v/>
      </c>
      <c r="G424">
        <f>ROUND(IF(D424&gt;0,0,ABS(D424)),2)</f>
        <v>0</v>
      </c>
      <c r="H424">
        <f>ROUND(IF(D424&gt;0,D424,),2)</f>
        <v>0</v>
      </c>
      <c r="K424" s="7"/>
      <c r="L424" s="9"/>
      <c r="M424" s="9"/>
      <c r="N424" s="7"/>
      <c r="P424" s="18"/>
      <c r="Q424" s="2"/>
      <c r="R424" s="2"/>
      <c r="AF424" s="14"/>
    </row>
    <row r="425" spans="1:32" customFormat="1" x14ac:dyDescent="0.25">
      <c r="A425" s="9"/>
      <c r="C425" s="14"/>
      <c r="E425" t="str">
        <f>IF(ISNA(VLOOKUP(C425,P:Q,2,0)),"",VLOOKUP(C425,P:Q,2,0))</f>
        <v/>
      </c>
      <c r="F425" s="15" t="str">
        <f>IF(ISNA(VLOOKUP(C425,P:R,3,0)),"",VLOOKUP(C425,P:R,3,0))</f>
        <v/>
      </c>
      <c r="G425">
        <f>ROUND(IF(D425&gt;0,0,ABS(D425)),2)</f>
        <v>0</v>
      </c>
      <c r="H425">
        <f>ROUND(IF(D425&gt;0,D425,),2)</f>
        <v>0</v>
      </c>
      <c r="K425" s="7"/>
      <c r="L425" s="9"/>
      <c r="M425" s="9"/>
      <c r="N425" s="7"/>
      <c r="P425" s="18"/>
      <c r="Q425" s="2"/>
      <c r="R425" s="2"/>
      <c r="AF425" s="14"/>
    </row>
    <row r="426" spans="1:32" customFormat="1" x14ac:dyDescent="0.25">
      <c r="A426" s="9"/>
      <c r="C426" s="14"/>
      <c r="E426" t="str">
        <f>IF(ISNA(VLOOKUP(C426,P:Q,2,0)),"",VLOOKUP(C426,P:Q,2,0))</f>
        <v/>
      </c>
      <c r="F426" s="15" t="str">
        <f>IF(ISNA(VLOOKUP(C426,P:R,3,0)),"",VLOOKUP(C426,P:R,3,0))</f>
        <v/>
      </c>
      <c r="G426">
        <f>ROUND(IF(D426&gt;0,0,ABS(D426)),2)</f>
        <v>0</v>
      </c>
      <c r="H426">
        <f>ROUND(IF(D426&gt;0,D426,),2)</f>
        <v>0</v>
      </c>
      <c r="K426" s="7"/>
      <c r="L426" s="9"/>
      <c r="M426" s="9"/>
      <c r="N426" s="7"/>
      <c r="P426" s="18"/>
      <c r="Q426" s="2"/>
      <c r="R426" s="2"/>
      <c r="AF426" s="14"/>
    </row>
    <row r="427" spans="1:32" customFormat="1" x14ac:dyDescent="0.25">
      <c r="A427" s="9"/>
      <c r="C427" s="14"/>
      <c r="E427" t="str">
        <f>IF(ISNA(VLOOKUP(C427,P:Q,2,0)),"",VLOOKUP(C427,P:Q,2,0))</f>
        <v/>
      </c>
      <c r="F427" s="15" t="str">
        <f>IF(ISNA(VLOOKUP(C427,P:R,3,0)),"",VLOOKUP(C427,P:R,3,0))</f>
        <v/>
      </c>
      <c r="G427">
        <f>ROUND(IF(D427&gt;0,0,ABS(D427)),2)</f>
        <v>0</v>
      </c>
      <c r="H427">
        <f>ROUND(IF(D427&gt;0,D427,),2)</f>
        <v>0</v>
      </c>
      <c r="K427" s="7"/>
      <c r="L427" s="9"/>
      <c r="M427" s="9"/>
      <c r="N427" s="7"/>
      <c r="P427" s="18"/>
      <c r="Q427" s="2"/>
      <c r="R427" s="2"/>
      <c r="AF427" s="14"/>
    </row>
    <row r="428" spans="1:32" customFormat="1" x14ac:dyDescent="0.25">
      <c r="A428" s="9"/>
      <c r="C428" s="14"/>
      <c r="E428" t="str">
        <f>IF(ISNA(VLOOKUP(C428,P:Q,2,0)),"",VLOOKUP(C428,P:Q,2,0))</f>
        <v/>
      </c>
      <c r="F428" s="15" t="str">
        <f>IF(ISNA(VLOOKUP(C428,P:R,3,0)),"",VLOOKUP(C428,P:R,3,0))</f>
        <v/>
      </c>
      <c r="G428">
        <f>ROUND(IF(D428&gt;0,0,ABS(D428)),2)</f>
        <v>0</v>
      </c>
      <c r="H428">
        <f>ROUND(IF(D428&gt;0,D428,),2)</f>
        <v>0</v>
      </c>
      <c r="K428" s="7"/>
      <c r="L428" s="9"/>
      <c r="M428" s="9"/>
      <c r="N428" s="7"/>
      <c r="P428" s="18"/>
      <c r="Q428" s="2"/>
      <c r="R428" s="2"/>
      <c r="AF428" s="14"/>
    </row>
    <row r="429" spans="1:32" customFormat="1" x14ac:dyDescent="0.25">
      <c r="A429" s="9"/>
      <c r="C429" s="14"/>
      <c r="E429" t="str">
        <f>IF(ISNA(VLOOKUP(C429,P:Q,2,0)),"",VLOOKUP(C429,P:Q,2,0))</f>
        <v/>
      </c>
      <c r="F429" s="15" t="str">
        <f>IF(ISNA(VLOOKUP(C429,P:R,3,0)),"",VLOOKUP(C429,P:R,3,0))</f>
        <v/>
      </c>
      <c r="G429">
        <f>ROUND(IF(D429&gt;0,0,ABS(D429)),2)</f>
        <v>0</v>
      </c>
      <c r="H429">
        <f>ROUND(IF(D429&gt;0,D429,),2)</f>
        <v>0</v>
      </c>
      <c r="K429" s="7"/>
      <c r="L429" s="9"/>
      <c r="M429" s="9"/>
      <c r="N429" s="7"/>
      <c r="P429" s="18"/>
      <c r="Q429" s="2"/>
      <c r="R429" s="2"/>
      <c r="AF429" s="14"/>
    </row>
    <row r="430" spans="1:32" customFormat="1" x14ac:dyDescent="0.25">
      <c r="A430" s="9"/>
      <c r="C430" s="14"/>
      <c r="E430" t="str">
        <f>IF(ISNA(VLOOKUP(C430,P:Q,2,0)),"",VLOOKUP(C430,P:Q,2,0))</f>
        <v/>
      </c>
      <c r="F430" s="15" t="str">
        <f>IF(ISNA(VLOOKUP(C430,P:R,3,0)),"",VLOOKUP(C430,P:R,3,0))</f>
        <v/>
      </c>
      <c r="G430">
        <f>ROUND(IF(D430&gt;0,0,ABS(D430)),2)</f>
        <v>0</v>
      </c>
      <c r="H430">
        <f>ROUND(IF(D430&gt;0,D430,),2)</f>
        <v>0</v>
      </c>
      <c r="K430" s="7"/>
      <c r="L430" s="9"/>
      <c r="M430" s="9"/>
      <c r="N430" s="7"/>
      <c r="P430" s="18"/>
      <c r="Q430" s="2"/>
      <c r="R430" s="2"/>
      <c r="AF430" s="14"/>
    </row>
    <row r="431" spans="1:32" customFormat="1" x14ac:dyDescent="0.25">
      <c r="A431" s="9"/>
      <c r="C431" s="14"/>
      <c r="E431" t="str">
        <f>IF(ISNA(VLOOKUP(C431,P:Q,2,0)),"",VLOOKUP(C431,P:Q,2,0))</f>
        <v/>
      </c>
      <c r="F431" s="15" t="str">
        <f>IF(ISNA(VLOOKUP(C431,P:R,3,0)),"",VLOOKUP(C431,P:R,3,0))</f>
        <v/>
      </c>
      <c r="G431">
        <f>ROUND(IF(D431&gt;0,0,ABS(D431)),2)</f>
        <v>0</v>
      </c>
      <c r="H431">
        <f>ROUND(IF(D431&gt;0,D431,),2)</f>
        <v>0</v>
      </c>
      <c r="K431" s="7"/>
      <c r="L431" s="9"/>
      <c r="M431" s="9"/>
      <c r="N431" s="7"/>
      <c r="P431" s="18"/>
      <c r="Q431" s="2"/>
      <c r="R431" s="2"/>
      <c r="AF431" s="14"/>
    </row>
    <row r="432" spans="1:32" customFormat="1" x14ac:dyDescent="0.25">
      <c r="A432" s="9"/>
      <c r="C432" s="14"/>
      <c r="E432" t="str">
        <f>IF(ISNA(VLOOKUP(C432,P:Q,2,0)),"",VLOOKUP(C432,P:Q,2,0))</f>
        <v/>
      </c>
      <c r="F432" s="15" t="str">
        <f>IF(ISNA(VLOOKUP(C432,P:R,3,0)),"",VLOOKUP(C432,P:R,3,0))</f>
        <v/>
      </c>
      <c r="G432">
        <f>ROUND(IF(D432&gt;0,0,ABS(D432)),2)</f>
        <v>0</v>
      </c>
      <c r="H432">
        <f>ROUND(IF(D432&gt;0,D432,),2)</f>
        <v>0</v>
      </c>
      <c r="K432" s="7"/>
      <c r="L432" s="9"/>
      <c r="M432" s="9"/>
      <c r="N432" s="7"/>
      <c r="P432" s="18"/>
      <c r="Q432" s="2"/>
      <c r="R432" s="2"/>
      <c r="AF432" s="14"/>
    </row>
    <row r="433" spans="1:32" customFormat="1" x14ac:dyDescent="0.25">
      <c r="A433" s="9"/>
      <c r="C433" s="14"/>
      <c r="E433" t="str">
        <f>IF(ISNA(VLOOKUP(C433,P:Q,2,0)),"",VLOOKUP(C433,P:Q,2,0))</f>
        <v/>
      </c>
      <c r="F433" s="15" t="str">
        <f>IF(ISNA(VLOOKUP(C433,P:R,3,0)),"",VLOOKUP(C433,P:R,3,0))</f>
        <v/>
      </c>
      <c r="G433">
        <f>ROUND(IF(D433&gt;0,0,ABS(D433)),2)</f>
        <v>0</v>
      </c>
      <c r="H433">
        <f>ROUND(IF(D433&gt;0,D433,),2)</f>
        <v>0</v>
      </c>
      <c r="K433" s="7"/>
      <c r="L433" s="9"/>
      <c r="M433" s="9"/>
      <c r="N433" s="7"/>
      <c r="P433" s="18"/>
      <c r="Q433" s="2"/>
      <c r="R433" s="2"/>
      <c r="AF433" s="14"/>
    </row>
    <row r="434" spans="1:32" customFormat="1" x14ac:dyDescent="0.25">
      <c r="A434" s="9"/>
      <c r="C434" s="14"/>
      <c r="E434" t="str">
        <f>IF(ISNA(VLOOKUP(C434,P:Q,2,0)),"",VLOOKUP(C434,P:Q,2,0))</f>
        <v/>
      </c>
      <c r="F434" s="15" t="str">
        <f>IF(ISNA(VLOOKUP(C434,P:R,3,0)),"",VLOOKUP(C434,P:R,3,0))</f>
        <v/>
      </c>
      <c r="G434">
        <f>ROUND(IF(D434&gt;0,0,ABS(D434)),2)</f>
        <v>0</v>
      </c>
      <c r="H434">
        <f>ROUND(IF(D434&gt;0,D434,),2)</f>
        <v>0</v>
      </c>
      <c r="K434" s="7"/>
      <c r="L434" s="9"/>
      <c r="M434" s="9"/>
      <c r="N434" s="7"/>
      <c r="P434" s="18"/>
      <c r="Q434" s="2"/>
      <c r="R434" s="2"/>
      <c r="AF434" s="14"/>
    </row>
    <row r="435" spans="1:32" customFormat="1" x14ac:dyDescent="0.25">
      <c r="A435" s="9"/>
      <c r="C435" s="14"/>
      <c r="E435" t="str">
        <f>IF(ISNA(VLOOKUP(C435,P:Q,2,0)),"",VLOOKUP(C435,P:Q,2,0))</f>
        <v/>
      </c>
      <c r="F435" s="15" t="str">
        <f>IF(ISNA(VLOOKUP(C435,P:R,3,0)),"",VLOOKUP(C435,P:R,3,0))</f>
        <v/>
      </c>
      <c r="G435">
        <f>ROUND(IF(D435&gt;0,0,ABS(D435)),2)</f>
        <v>0</v>
      </c>
      <c r="H435">
        <f>ROUND(IF(D435&gt;0,D435,),2)</f>
        <v>0</v>
      </c>
      <c r="K435" s="7"/>
      <c r="L435" s="9"/>
      <c r="M435" s="9"/>
      <c r="N435" s="7"/>
      <c r="P435" s="18"/>
      <c r="Q435" s="2"/>
      <c r="R435" s="2"/>
      <c r="AF435" s="14"/>
    </row>
    <row r="436" spans="1:32" customFormat="1" x14ac:dyDescent="0.25">
      <c r="A436" s="9"/>
      <c r="C436" s="14"/>
      <c r="E436" t="str">
        <f>IF(ISNA(VLOOKUP(C436,P:Q,2,0)),"",VLOOKUP(C436,P:Q,2,0))</f>
        <v/>
      </c>
      <c r="F436" s="15" t="str">
        <f>IF(ISNA(VLOOKUP(C436,P:R,3,0)),"",VLOOKUP(C436,P:R,3,0))</f>
        <v/>
      </c>
      <c r="G436">
        <f>ROUND(IF(D436&gt;0,0,ABS(D436)),2)</f>
        <v>0</v>
      </c>
      <c r="H436">
        <f>ROUND(IF(D436&gt;0,D436,),2)</f>
        <v>0</v>
      </c>
      <c r="K436" s="7"/>
      <c r="L436" s="9"/>
      <c r="M436" s="9"/>
      <c r="N436" s="7"/>
      <c r="P436" s="18"/>
      <c r="Q436" s="2"/>
      <c r="R436" s="2"/>
      <c r="AF436" s="14"/>
    </row>
    <row r="437" spans="1:32" customFormat="1" x14ac:dyDescent="0.25">
      <c r="A437" s="9"/>
      <c r="C437" s="14"/>
      <c r="E437" t="str">
        <f>IF(ISNA(VLOOKUP(C437,P:Q,2,0)),"",VLOOKUP(C437,P:Q,2,0))</f>
        <v/>
      </c>
      <c r="F437" s="15" t="str">
        <f>IF(ISNA(VLOOKUP(C437,P:R,3,0)),"",VLOOKUP(C437,P:R,3,0))</f>
        <v/>
      </c>
      <c r="G437">
        <f>ROUND(IF(D437&gt;0,0,ABS(D437)),2)</f>
        <v>0</v>
      </c>
      <c r="H437">
        <f>ROUND(IF(D437&gt;0,D437,),2)</f>
        <v>0</v>
      </c>
      <c r="K437" s="7"/>
      <c r="L437" s="9"/>
      <c r="M437" s="9"/>
      <c r="N437" s="7"/>
      <c r="P437" s="18"/>
      <c r="Q437" s="2"/>
      <c r="R437" s="2"/>
      <c r="AF437" s="14"/>
    </row>
    <row r="438" spans="1:32" customFormat="1" x14ac:dyDescent="0.25">
      <c r="A438" s="9"/>
      <c r="C438" s="14"/>
      <c r="E438" t="str">
        <f>IF(ISNA(VLOOKUP(C438,P:Q,2,0)),"",VLOOKUP(C438,P:Q,2,0))</f>
        <v/>
      </c>
      <c r="F438" s="15" t="str">
        <f>IF(ISNA(VLOOKUP(C438,P:R,3,0)),"",VLOOKUP(C438,P:R,3,0))</f>
        <v/>
      </c>
      <c r="G438">
        <f>ROUND(IF(D438&gt;0,0,ABS(D438)),2)</f>
        <v>0</v>
      </c>
      <c r="H438">
        <f>ROUND(IF(D438&gt;0,D438,),2)</f>
        <v>0</v>
      </c>
      <c r="K438" s="7"/>
      <c r="L438" s="9"/>
      <c r="M438" s="9"/>
      <c r="N438" s="7"/>
      <c r="P438" s="18"/>
      <c r="Q438" s="2"/>
      <c r="R438" s="2"/>
      <c r="AF438" s="14"/>
    </row>
    <row r="439" spans="1:32" customFormat="1" x14ac:dyDescent="0.25">
      <c r="A439" s="9"/>
      <c r="C439" s="14"/>
      <c r="E439" t="str">
        <f>IF(ISNA(VLOOKUP(C439,P:Q,2,0)),"",VLOOKUP(C439,P:Q,2,0))</f>
        <v/>
      </c>
      <c r="F439" s="15" t="str">
        <f>IF(ISNA(VLOOKUP(C439,P:R,3,0)),"",VLOOKUP(C439,P:R,3,0))</f>
        <v/>
      </c>
      <c r="G439">
        <f>ROUND(IF(D439&gt;0,0,ABS(D439)),2)</f>
        <v>0</v>
      </c>
      <c r="H439">
        <f>ROUND(IF(D439&gt;0,D439,),2)</f>
        <v>0</v>
      </c>
      <c r="K439" s="7"/>
      <c r="L439" s="9"/>
      <c r="M439" s="9"/>
      <c r="N439" s="7"/>
      <c r="P439" s="18"/>
      <c r="Q439" s="2"/>
      <c r="R439" s="2"/>
      <c r="AF439" s="14"/>
    </row>
    <row r="440" spans="1:32" customFormat="1" x14ac:dyDescent="0.25">
      <c r="A440" s="9"/>
      <c r="C440" s="14"/>
      <c r="E440" t="str">
        <f>IF(ISNA(VLOOKUP(C440,P:Q,2,0)),"",VLOOKUP(C440,P:Q,2,0))</f>
        <v/>
      </c>
      <c r="F440" s="15" t="str">
        <f>IF(ISNA(VLOOKUP(C440,P:R,3,0)),"",VLOOKUP(C440,P:R,3,0))</f>
        <v/>
      </c>
      <c r="G440">
        <f>ROUND(IF(D440&gt;0,0,ABS(D440)),2)</f>
        <v>0</v>
      </c>
      <c r="H440">
        <f>ROUND(IF(D440&gt;0,D440,),2)</f>
        <v>0</v>
      </c>
      <c r="K440" s="7"/>
      <c r="L440" s="9"/>
      <c r="M440" s="9"/>
      <c r="N440" s="7"/>
      <c r="P440" s="18"/>
      <c r="Q440" s="2"/>
      <c r="R440" s="2"/>
      <c r="AF440" s="14"/>
    </row>
    <row r="441" spans="1:32" customFormat="1" x14ac:dyDescent="0.25">
      <c r="A441" s="9"/>
      <c r="C441" s="14"/>
      <c r="E441" t="str">
        <f>IF(ISNA(VLOOKUP(C441,P:Q,2,0)),"",VLOOKUP(C441,P:Q,2,0))</f>
        <v/>
      </c>
      <c r="F441" s="15" t="str">
        <f>IF(ISNA(VLOOKUP(C441,P:R,3,0)),"",VLOOKUP(C441,P:R,3,0))</f>
        <v/>
      </c>
      <c r="G441">
        <f>ROUND(IF(D441&gt;0,0,ABS(D441)),2)</f>
        <v>0</v>
      </c>
      <c r="H441">
        <f>ROUND(IF(D441&gt;0,D441,),2)</f>
        <v>0</v>
      </c>
      <c r="K441" s="7"/>
      <c r="L441" s="9"/>
      <c r="M441" s="9"/>
      <c r="N441" s="7"/>
      <c r="P441" s="18"/>
      <c r="Q441" s="2"/>
      <c r="R441" s="2"/>
      <c r="AF441" s="14"/>
    </row>
    <row r="442" spans="1:32" customFormat="1" x14ac:dyDescent="0.25">
      <c r="A442" s="9"/>
      <c r="C442" s="14"/>
      <c r="E442" t="str">
        <f>IF(ISNA(VLOOKUP(C442,P:Q,2,0)),"",VLOOKUP(C442,P:Q,2,0))</f>
        <v/>
      </c>
      <c r="F442" s="15" t="str">
        <f>IF(ISNA(VLOOKUP(C442,P:R,3,0)),"",VLOOKUP(C442,P:R,3,0))</f>
        <v/>
      </c>
      <c r="G442">
        <f>ROUND(IF(D442&gt;0,0,ABS(D442)),2)</f>
        <v>0</v>
      </c>
      <c r="H442">
        <f>ROUND(IF(D442&gt;0,D442,),2)</f>
        <v>0</v>
      </c>
      <c r="K442" s="7"/>
      <c r="L442" s="9"/>
      <c r="M442" s="9"/>
      <c r="N442" s="7"/>
      <c r="P442" s="18"/>
      <c r="Q442" s="2"/>
      <c r="R442" s="2"/>
      <c r="AF442" s="14"/>
    </row>
    <row r="443" spans="1:32" customFormat="1" x14ac:dyDescent="0.25">
      <c r="A443" s="9"/>
      <c r="C443" s="14"/>
      <c r="E443" t="str">
        <f>IF(ISNA(VLOOKUP(C443,P:Q,2,0)),"",VLOOKUP(C443,P:Q,2,0))</f>
        <v/>
      </c>
      <c r="F443" s="15" t="str">
        <f>IF(ISNA(VLOOKUP(C443,P:R,3,0)),"",VLOOKUP(C443,P:R,3,0))</f>
        <v/>
      </c>
      <c r="G443">
        <f>ROUND(IF(D443&gt;0,0,ABS(D443)),2)</f>
        <v>0</v>
      </c>
      <c r="H443">
        <f>ROUND(IF(D443&gt;0,D443,),2)</f>
        <v>0</v>
      </c>
      <c r="K443" s="7"/>
      <c r="L443" s="9"/>
      <c r="M443" s="9"/>
      <c r="N443" s="7"/>
      <c r="P443" s="18"/>
      <c r="Q443" s="2"/>
      <c r="R443" s="2"/>
      <c r="AF443" s="14"/>
    </row>
    <row r="444" spans="1:32" customFormat="1" x14ac:dyDescent="0.25">
      <c r="A444" s="9"/>
      <c r="C444" s="14"/>
      <c r="E444" t="str">
        <f>IF(ISNA(VLOOKUP(C444,P:Q,2,0)),"",VLOOKUP(C444,P:Q,2,0))</f>
        <v/>
      </c>
      <c r="F444" s="15" t="str">
        <f>IF(ISNA(VLOOKUP(C444,P:R,3,0)),"",VLOOKUP(C444,P:R,3,0))</f>
        <v/>
      </c>
      <c r="G444">
        <f>ROUND(IF(D444&gt;0,0,ABS(D444)),2)</f>
        <v>0</v>
      </c>
      <c r="H444">
        <f>ROUND(IF(D444&gt;0,D444,),2)</f>
        <v>0</v>
      </c>
      <c r="K444" s="7"/>
      <c r="L444" s="9"/>
      <c r="M444" s="9"/>
      <c r="N444" s="7"/>
      <c r="P444" s="18"/>
      <c r="Q444" s="2"/>
      <c r="R444" s="2"/>
      <c r="AF444" s="14"/>
    </row>
    <row r="445" spans="1:32" customFormat="1" x14ac:dyDescent="0.25">
      <c r="A445" s="9"/>
      <c r="C445" s="14"/>
      <c r="E445" t="str">
        <f>IF(ISNA(VLOOKUP(C445,P:Q,2,0)),"",VLOOKUP(C445,P:Q,2,0))</f>
        <v/>
      </c>
      <c r="F445" s="15" t="str">
        <f>IF(ISNA(VLOOKUP(C445,P:R,3,0)),"",VLOOKUP(C445,P:R,3,0))</f>
        <v/>
      </c>
      <c r="G445">
        <f>ROUND(IF(D445&gt;0,0,ABS(D445)),2)</f>
        <v>0</v>
      </c>
      <c r="H445">
        <f>ROUND(IF(D445&gt;0,D445,),2)</f>
        <v>0</v>
      </c>
      <c r="K445" s="7"/>
      <c r="L445" s="9"/>
      <c r="M445" s="9"/>
      <c r="N445" s="7"/>
      <c r="P445" s="18"/>
      <c r="Q445" s="2"/>
      <c r="R445" s="2"/>
      <c r="AF445" s="14"/>
    </row>
    <row r="446" spans="1:32" customFormat="1" x14ac:dyDescent="0.25">
      <c r="A446" s="9"/>
      <c r="C446" s="14"/>
      <c r="E446" t="str">
        <f>IF(ISNA(VLOOKUP(C446,P:Q,2,0)),"",VLOOKUP(C446,P:Q,2,0))</f>
        <v/>
      </c>
      <c r="F446" s="15" t="str">
        <f>IF(ISNA(VLOOKUP(C446,P:R,3,0)),"",VLOOKUP(C446,P:R,3,0))</f>
        <v/>
      </c>
      <c r="G446">
        <f>ROUND(IF(D446&gt;0,0,ABS(D446)),2)</f>
        <v>0</v>
      </c>
      <c r="H446">
        <f>ROUND(IF(D446&gt;0,D446,),2)</f>
        <v>0</v>
      </c>
      <c r="K446" s="7"/>
      <c r="L446" s="9"/>
      <c r="M446" s="9"/>
      <c r="N446" s="7"/>
      <c r="P446" s="18"/>
      <c r="Q446" s="2"/>
      <c r="R446" s="2"/>
      <c r="AF446" s="14"/>
    </row>
    <row r="447" spans="1:32" customFormat="1" x14ac:dyDescent="0.25">
      <c r="A447" s="9"/>
      <c r="C447" s="14"/>
      <c r="E447" t="str">
        <f>IF(ISNA(VLOOKUP(C447,P:Q,2,0)),"",VLOOKUP(C447,P:Q,2,0))</f>
        <v/>
      </c>
      <c r="F447" s="15" t="str">
        <f>IF(ISNA(VLOOKUP(C447,P:R,3,0)),"",VLOOKUP(C447,P:R,3,0))</f>
        <v/>
      </c>
      <c r="G447">
        <f>ROUND(IF(D447&gt;0,0,ABS(D447)),2)</f>
        <v>0</v>
      </c>
      <c r="H447">
        <f>ROUND(IF(D447&gt;0,D447,),2)</f>
        <v>0</v>
      </c>
      <c r="K447" s="7"/>
      <c r="L447" s="9"/>
      <c r="M447" s="9"/>
      <c r="N447" s="7"/>
      <c r="P447" s="18"/>
      <c r="Q447" s="2"/>
      <c r="R447" s="2"/>
      <c r="AF447" s="14"/>
    </row>
    <row r="448" spans="1:32" customFormat="1" x14ac:dyDescent="0.25">
      <c r="A448" s="9"/>
      <c r="C448" s="14"/>
      <c r="E448" t="str">
        <f>IF(ISNA(VLOOKUP(C448,P:Q,2,0)),"",VLOOKUP(C448,P:Q,2,0))</f>
        <v/>
      </c>
      <c r="F448" s="15" t="str">
        <f>IF(ISNA(VLOOKUP(C448,P:R,3,0)),"",VLOOKUP(C448,P:R,3,0))</f>
        <v/>
      </c>
      <c r="G448">
        <f>ROUND(IF(D448&gt;0,0,ABS(D448)),2)</f>
        <v>0</v>
      </c>
      <c r="H448">
        <f>ROUND(IF(D448&gt;0,D448,),2)</f>
        <v>0</v>
      </c>
      <c r="K448" s="7"/>
      <c r="L448" s="9"/>
      <c r="M448" s="9"/>
      <c r="N448" s="7"/>
      <c r="P448" s="18"/>
      <c r="Q448" s="2"/>
      <c r="R448" s="2"/>
      <c r="AF448" s="14"/>
    </row>
    <row r="449" spans="1:32" customFormat="1" x14ac:dyDescent="0.25">
      <c r="A449" s="9"/>
      <c r="C449" s="14"/>
      <c r="E449" t="str">
        <f>IF(ISNA(VLOOKUP(C449,P:Q,2,0)),"",VLOOKUP(C449,P:Q,2,0))</f>
        <v/>
      </c>
      <c r="F449" s="15" t="str">
        <f>IF(ISNA(VLOOKUP(C449,P:R,3,0)),"",VLOOKUP(C449,P:R,3,0))</f>
        <v/>
      </c>
      <c r="G449">
        <f>ROUND(IF(D449&gt;0,0,ABS(D449)),2)</f>
        <v>0</v>
      </c>
      <c r="H449">
        <f>ROUND(IF(D449&gt;0,D449,),2)</f>
        <v>0</v>
      </c>
      <c r="K449" s="7"/>
      <c r="L449" s="9"/>
      <c r="M449" s="9"/>
      <c r="N449" s="7"/>
      <c r="P449" s="18"/>
      <c r="Q449" s="2"/>
      <c r="R449" s="2"/>
      <c r="AF449" s="14"/>
    </row>
    <row r="450" spans="1:32" customFormat="1" x14ac:dyDescent="0.25">
      <c r="A450" s="9"/>
      <c r="C450" s="14"/>
      <c r="E450" t="str">
        <f>IF(ISNA(VLOOKUP(C450,P:Q,2,0)),"",VLOOKUP(C450,P:Q,2,0))</f>
        <v/>
      </c>
      <c r="F450" s="15" t="str">
        <f>IF(ISNA(VLOOKUP(C450,P:R,3,0)),"",VLOOKUP(C450,P:R,3,0))</f>
        <v/>
      </c>
      <c r="G450">
        <f>ROUND(IF(D450&gt;0,0,ABS(D450)),2)</f>
        <v>0</v>
      </c>
      <c r="H450">
        <f>ROUND(IF(D450&gt;0,D450,),2)</f>
        <v>0</v>
      </c>
      <c r="K450" s="7"/>
      <c r="L450" s="9"/>
      <c r="M450" s="9"/>
      <c r="N450" s="7"/>
      <c r="P450" s="18"/>
      <c r="Q450" s="2"/>
      <c r="R450" s="2"/>
      <c r="AF450" s="14"/>
    </row>
    <row r="451" spans="1:32" customFormat="1" x14ac:dyDescent="0.25">
      <c r="A451" s="9"/>
      <c r="C451" s="14"/>
      <c r="E451" t="str">
        <f>IF(ISNA(VLOOKUP(C451,P:Q,2,0)),"",VLOOKUP(C451,P:Q,2,0))</f>
        <v/>
      </c>
      <c r="F451" s="15" t="str">
        <f>IF(ISNA(VLOOKUP(C451,P:R,3,0)),"",VLOOKUP(C451,P:R,3,0))</f>
        <v/>
      </c>
      <c r="G451">
        <f>ROUND(IF(D451&gt;0,0,ABS(D451)),2)</f>
        <v>0</v>
      </c>
      <c r="H451">
        <f>ROUND(IF(D451&gt;0,D451,),2)</f>
        <v>0</v>
      </c>
      <c r="K451" s="7"/>
      <c r="L451" s="9"/>
      <c r="M451" s="9"/>
      <c r="N451" s="7"/>
      <c r="P451" s="18"/>
      <c r="Q451" s="2"/>
      <c r="R451" s="2"/>
      <c r="AF451" s="14"/>
    </row>
    <row r="452" spans="1:32" customFormat="1" x14ac:dyDescent="0.25">
      <c r="A452" s="9"/>
      <c r="C452" s="14"/>
      <c r="E452" t="str">
        <f>IF(ISNA(VLOOKUP(C452,P:Q,2,0)),"",VLOOKUP(C452,P:Q,2,0))</f>
        <v/>
      </c>
      <c r="F452" s="15" t="str">
        <f>IF(ISNA(VLOOKUP(C452,P:R,3,0)),"",VLOOKUP(C452,P:R,3,0))</f>
        <v/>
      </c>
      <c r="G452">
        <f>ROUND(IF(D452&gt;0,0,ABS(D452)),2)</f>
        <v>0</v>
      </c>
      <c r="H452">
        <f>ROUND(IF(D452&gt;0,D452,),2)</f>
        <v>0</v>
      </c>
      <c r="K452" s="7"/>
      <c r="L452" s="9"/>
      <c r="M452" s="9"/>
      <c r="N452" s="7"/>
      <c r="P452" s="18"/>
      <c r="Q452" s="2"/>
      <c r="R452" s="2"/>
      <c r="AF452" s="14"/>
    </row>
    <row r="453" spans="1:32" customFormat="1" x14ac:dyDescent="0.25">
      <c r="A453" s="9"/>
      <c r="C453" s="14"/>
      <c r="E453" t="str">
        <f>IF(ISNA(VLOOKUP(C453,P:Q,2,0)),"",VLOOKUP(C453,P:Q,2,0))</f>
        <v/>
      </c>
      <c r="F453" s="15" t="str">
        <f>IF(ISNA(VLOOKUP(C453,P:R,3,0)),"",VLOOKUP(C453,P:R,3,0))</f>
        <v/>
      </c>
      <c r="G453">
        <f>ROUND(IF(D453&gt;0,0,ABS(D453)),2)</f>
        <v>0</v>
      </c>
      <c r="H453">
        <f>ROUND(IF(D453&gt;0,D453,),2)</f>
        <v>0</v>
      </c>
      <c r="K453" s="7"/>
      <c r="L453" s="9"/>
      <c r="M453" s="9"/>
      <c r="N453" s="7"/>
      <c r="P453" s="18"/>
      <c r="Q453" s="2"/>
      <c r="R453" s="2"/>
      <c r="AF453" s="14"/>
    </row>
    <row r="454" spans="1:32" customFormat="1" x14ac:dyDescent="0.25">
      <c r="A454" s="9"/>
      <c r="C454" s="14"/>
      <c r="E454" t="str">
        <f>IF(ISNA(VLOOKUP(C454,P:Q,2,0)),"",VLOOKUP(C454,P:Q,2,0))</f>
        <v/>
      </c>
      <c r="F454" s="15" t="str">
        <f>IF(ISNA(VLOOKUP(C454,P:R,3,0)),"",VLOOKUP(C454,P:R,3,0))</f>
        <v/>
      </c>
      <c r="G454">
        <f>ROUND(IF(D454&gt;0,0,ABS(D454)),2)</f>
        <v>0</v>
      </c>
      <c r="H454">
        <f>ROUND(IF(D454&gt;0,D454,),2)</f>
        <v>0</v>
      </c>
      <c r="K454" s="7"/>
      <c r="L454" s="9"/>
      <c r="M454" s="9"/>
      <c r="N454" s="7"/>
      <c r="P454" s="18"/>
      <c r="Q454" s="2"/>
      <c r="R454" s="2"/>
      <c r="AF454" s="14"/>
    </row>
    <row r="455" spans="1:32" customFormat="1" x14ac:dyDescent="0.25">
      <c r="A455" s="9"/>
      <c r="C455" s="14"/>
      <c r="E455" t="str">
        <f>IF(ISNA(VLOOKUP(C455,P:Q,2,0)),"",VLOOKUP(C455,P:Q,2,0))</f>
        <v/>
      </c>
      <c r="F455" s="15" t="str">
        <f>IF(ISNA(VLOOKUP(C455,P:R,3,0)),"",VLOOKUP(C455,P:R,3,0))</f>
        <v/>
      </c>
      <c r="G455">
        <f>ROUND(IF(D455&gt;0,0,ABS(D455)),2)</f>
        <v>0</v>
      </c>
      <c r="H455">
        <f>ROUND(IF(D455&gt;0,D455,),2)</f>
        <v>0</v>
      </c>
      <c r="K455" s="7"/>
      <c r="L455" s="9"/>
      <c r="M455" s="9"/>
      <c r="N455" s="7"/>
      <c r="P455" s="18"/>
      <c r="Q455" s="2"/>
      <c r="R455" s="2"/>
      <c r="AF455" s="14"/>
    </row>
    <row r="456" spans="1:32" customFormat="1" x14ac:dyDescent="0.25">
      <c r="A456" s="9"/>
      <c r="C456" s="14"/>
      <c r="E456" t="str">
        <f>IF(ISNA(VLOOKUP(C456,P:Q,2,0)),"",VLOOKUP(C456,P:Q,2,0))</f>
        <v/>
      </c>
      <c r="F456" s="15" t="str">
        <f>IF(ISNA(VLOOKUP(C456,P:R,3,0)),"",VLOOKUP(C456,P:R,3,0))</f>
        <v/>
      </c>
      <c r="G456">
        <f>ROUND(IF(D456&gt;0,0,ABS(D456)),2)</f>
        <v>0</v>
      </c>
      <c r="H456">
        <f>ROUND(IF(D456&gt;0,D456,),2)</f>
        <v>0</v>
      </c>
      <c r="K456" s="7"/>
      <c r="L456" s="9"/>
      <c r="M456" s="9"/>
      <c r="N456" s="7"/>
      <c r="P456" s="18"/>
      <c r="Q456" s="2"/>
      <c r="R456" s="2"/>
      <c r="AF456" s="14"/>
    </row>
    <row r="457" spans="1:32" customFormat="1" x14ac:dyDescent="0.25">
      <c r="A457" s="9"/>
      <c r="C457" s="14"/>
      <c r="E457" t="str">
        <f>IF(ISNA(VLOOKUP(C457,P:Q,2,0)),"",VLOOKUP(C457,P:Q,2,0))</f>
        <v/>
      </c>
      <c r="F457" s="15" t="str">
        <f>IF(ISNA(VLOOKUP(C457,P:R,3,0)),"",VLOOKUP(C457,P:R,3,0))</f>
        <v/>
      </c>
      <c r="G457">
        <f>ROUND(IF(D457&gt;0,0,ABS(D457)),2)</f>
        <v>0</v>
      </c>
      <c r="H457">
        <f>ROUND(IF(D457&gt;0,D457,),2)</f>
        <v>0</v>
      </c>
      <c r="K457" s="7"/>
      <c r="L457" s="9"/>
      <c r="M457" s="9"/>
      <c r="N457" s="7"/>
      <c r="P457" s="18"/>
      <c r="Q457" s="2"/>
      <c r="R457" s="2"/>
      <c r="AF457" s="14"/>
    </row>
    <row r="458" spans="1:32" customFormat="1" x14ac:dyDescent="0.25">
      <c r="A458" s="9"/>
      <c r="C458" s="14"/>
      <c r="E458" t="str">
        <f>IF(ISNA(VLOOKUP(C458,P:Q,2,0)),"",VLOOKUP(C458,P:Q,2,0))</f>
        <v/>
      </c>
      <c r="F458" s="15" t="str">
        <f>IF(ISNA(VLOOKUP(C458,P:R,3,0)),"",VLOOKUP(C458,P:R,3,0))</f>
        <v/>
      </c>
      <c r="G458">
        <f>ROUND(IF(D458&gt;0,0,ABS(D458)),2)</f>
        <v>0</v>
      </c>
      <c r="H458">
        <f>ROUND(IF(D458&gt;0,D458,),2)</f>
        <v>0</v>
      </c>
      <c r="K458" s="7"/>
      <c r="L458" s="9"/>
      <c r="M458" s="9"/>
      <c r="N458" s="7"/>
      <c r="P458" s="18"/>
      <c r="Q458" s="2"/>
      <c r="R458" s="2"/>
      <c r="AF458" s="14"/>
    </row>
    <row r="459" spans="1:32" customFormat="1" x14ac:dyDescent="0.25">
      <c r="A459" s="9"/>
      <c r="C459" s="14"/>
      <c r="E459" t="str">
        <f>IF(ISNA(VLOOKUP(C459,P:Q,2,0)),"",VLOOKUP(C459,P:Q,2,0))</f>
        <v/>
      </c>
      <c r="F459" s="15" t="str">
        <f>IF(ISNA(VLOOKUP(C459,P:R,3,0)),"",VLOOKUP(C459,P:R,3,0))</f>
        <v/>
      </c>
      <c r="G459">
        <f>ROUND(IF(D459&gt;0,0,ABS(D459)),2)</f>
        <v>0</v>
      </c>
      <c r="H459">
        <f>ROUND(IF(D459&gt;0,D459,),2)</f>
        <v>0</v>
      </c>
      <c r="K459" s="7"/>
      <c r="L459" s="9"/>
      <c r="M459" s="9"/>
      <c r="N459" s="7"/>
      <c r="P459" s="18"/>
      <c r="Q459" s="2"/>
      <c r="R459" s="2"/>
      <c r="AF459" s="14"/>
    </row>
    <row r="460" spans="1:32" customFormat="1" x14ac:dyDescent="0.25">
      <c r="A460" s="9"/>
      <c r="C460" s="14"/>
      <c r="E460" t="str">
        <f>IF(ISNA(VLOOKUP(C460,P:Q,2,0)),"",VLOOKUP(C460,P:Q,2,0))</f>
        <v/>
      </c>
      <c r="F460" s="15" t="str">
        <f>IF(ISNA(VLOOKUP(C460,P:R,3,0)),"",VLOOKUP(C460,P:R,3,0))</f>
        <v/>
      </c>
      <c r="G460">
        <f>ROUND(IF(D460&gt;0,0,ABS(D460)),2)</f>
        <v>0</v>
      </c>
      <c r="H460">
        <f>ROUND(IF(D460&gt;0,D460,),2)</f>
        <v>0</v>
      </c>
      <c r="K460" s="7"/>
      <c r="L460" s="9"/>
      <c r="M460" s="9"/>
      <c r="N460" s="7"/>
      <c r="P460" s="18"/>
      <c r="Q460" s="2"/>
      <c r="R460" s="2"/>
      <c r="AF460" s="14"/>
    </row>
    <row r="461" spans="1:32" customFormat="1" x14ac:dyDescent="0.25">
      <c r="A461" s="9"/>
      <c r="C461" s="14"/>
      <c r="E461" t="str">
        <f>IF(ISNA(VLOOKUP(C461,P:Q,2,0)),"",VLOOKUP(C461,P:Q,2,0))</f>
        <v/>
      </c>
      <c r="F461" s="15" t="str">
        <f>IF(ISNA(VLOOKUP(C461,P:R,3,0)),"",VLOOKUP(C461,P:R,3,0))</f>
        <v/>
      </c>
      <c r="G461">
        <f>ROUND(IF(D461&gt;0,0,ABS(D461)),2)</f>
        <v>0</v>
      </c>
      <c r="H461">
        <f>ROUND(IF(D461&gt;0,D461,),2)</f>
        <v>0</v>
      </c>
      <c r="K461" s="7"/>
      <c r="L461" s="9"/>
      <c r="M461" s="9"/>
      <c r="N461" s="7"/>
      <c r="P461" s="18"/>
      <c r="Q461" s="2"/>
      <c r="R461" s="2"/>
      <c r="AF461" s="14"/>
    </row>
    <row r="462" spans="1:32" customFormat="1" x14ac:dyDescent="0.25">
      <c r="A462" s="9"/>
      <c r="C462" s="14"/>
      <c r="E462" t="str">
        <f>IF(ISNA(VLOOKUP(C462,P:Q,2,0)),"",VLOOKUP(C462,P:Q,2,0))</f>
        <v/>
      </c>
      <c r="F462" s="15" t="str">
        <f>IF(ISNA(VLOOKUP(C462,P:R,3,0)),"",VLOOKUP(C462,P:R,3,0))</f>
        <v/>
      </c>
      <c r="G462">
        <f>ROUND(IF(D462&gt;0,0,ABS(D462)),2)</f>
        <v>0</v>
      </c>
      <c r="H462">
        <f>ROUND(IF(D462&gt;0,D462,),2)</f>
        <v>0</v>
      </c>
      <c r="K462" s="7"/>
      <c r="L462" s="9"/>
      <c r="M462" s="9"/>
      <c r="N462" s="7"/>
      <c r="P462" s="18"/>
      <c r="Q462" s="2"/>
      <c r="R462" s="2"/>
      <c r="AF462" s="14"/>
    </row>
    <row r="463" spans="1:32" customFormat="1" x14ac:dyDescent="0.25">
      <c r="A463" s="9"/>
      <c r="C463" s="14"/>
      <c r="E463" t="str">
        <f>IF(ISNA(VLOOKUP(C463,P:Q,2,0)),"",VLOOKUP(C463,P:Q,2,0))</f>
        <v/>
      </c>
      <c r="F463" s="15" t="str">
        <f>IF(ISNA(VLOOKUP(C463,P:R,3,0)),"",VLOOKUP(C463,P:R,3,0))</f>
        <v/>
      </c>
      <c r="G463">
        <f>ROUND(IF(D463&gt;0,0,ABS(D463)),2)</f>
        <v>0</v>
      </c>
      <c r="H463">
        <f>ROUND(IF(D463&gt;0,D463,),2)</f>
        <v>0</v>
      </c>
      <c r="K463" s="7"/>
      <c r="L463" s="9"/>
      <c r="M463" s="9"/>
      <c r="N463" s="7"/>
      <c r="P463" s="18"/>
      <c r="Q463" s="2"/>
      <c r="R463" s="2"/>
      <c r="AF463" s="14"/>
    </row>
    <row r="464" spans="1:32" customFormat="1" x14ac:dyDescent="0.25">
      <c r="A464" s="9"/>
      <c r="C464" s="14"/>
      <c r="E464" t="str">
        <f>IF(ISNA(VLOOKUP(C464,P:Q,2,0)),"",VLOOKUP(C464,P:Q,2,0))</f>
        <v/>
      </c>
      <c r="F464" s="15" t="str">
        <f>IF(ISNA(VLOOKUP(C464,P:R,3,0)),"",VLOOKUP(C464,P:R,3,0))</f>
        <v/>
      </c>
      <c r="G464">
        <f>ROUND(IF(D464&gt;0,0,ABS(D464)),2)</f>
        <v>0</v>
      </c>
      <c r="H464">
        <f>ROUND(IF(D464&gt;0,D464,),2)</f>
        <v>0</v>
      </c>
      <c r="K464" s="7"/>
      <c r="L464" s="9"/>
      <c r="M464" s="9"/>
      <c r="N464" s="7"/>
      <c r="P464" s="18"/>
      <c r="Q464" s="2"/>
      <c r="R464" s="2"/>
      <c r="AF464" s="14"/>
    </row>
    <row r="465" spans="1:32" customFormat="1" x14ac:dyDescent="0.25">
      <c r="A465" s="9"/>
      <c r="C465" s="14"/>
      <c r="E465" t="str">
        <f>IF(ISNA(VLOOKUP(C465,P:Q,2,0)),"",VLOOKUP(C465,P:Q,2,0))</f>
        <v/>
      </c>
      <c r="F465" s="15" t="str">
        <f>IF(ISNA(VLOOKUP(C465,P:R,3,0)),"",VLOOKUP(C465,P:R,3,0))</f>
        <v/>
      </c>
      <c r="G465">
        <f>ROUND(IF(D465&gt;0,0,ABS(D465)),2)</f>
        <v>0</v>
      </c>
      <c r="H465">
        <f>ROUND(IF(D465&gt;0,D465,),2)</f>
        <v>0</v>
      </c>
      <c r="K465" s="7"/>
      <c r="L465" s="9"/>
      <c r="M465" s="9"/>
      <c r="N465" s="7"/>
      <c r="P465" s="18"/>
      <c r="Q465" s="2"/>
      <c r="R465" s="2"/>
      <c r="AF465" s="14"/>
    </row>
    <row r="466" spans="1:32" customFormat="1" x14ac:dyDescent="0.25">
      <c r="A466" s="9"/>
      <c r="C466" s="14"/>
      <c r="E466" t="str">
        <f>IF(ISNA(VLOOKUP(C466,P:Q,2,0)),"",VLOOKUP(C466,P:Q,2,0))</f>
        <v/>
      </c>
      <c r="F466" s="15" t="str">
        <f>IF(ISNA(VLOOKUP(C466,P:R,3,0)),"",VLOOKUP(C466,P:R,3,0))</f>
        <v/>
      </c>
      <c r="G466">
        <f>ROUND(IF(D466&gt;0,0,ABS(D466)),2)</f>
        <v>0</v>
      </c>
      <c r="H466">
        <f>ROUND(IF(D466&gt;0,D466,),2)</f>
        <v>0</v>
      </c>
      <c r="K466" s="7"/>
      <c r="L466" s="9"/>
      <c r="M466" s="9"/>
      <c r="N466" s="7"/>
      <c r="P466" s="18"/>
      <c r="Q466" s="2"/>
      <c r="R466" s="2"/>
      <c r="AF466" s="14"/>
    </row>
    <row r="467" spans="1:32" customFormat="1" x14ac:dyDescent="0.25">
      <c r="A467" s="9"/>
      <c r="C467" s="14"/>
      <c r="E467" t="str">
        <f>IF(ISNA(VLOOKUP(C467,P:Q,2,0)),"",VLOOKUP(C467,P:Q,2,0))</f>
        <v/>
      </c>
      <c r="F467" s="15" t="str">
        <f>IF(ISNA(VLOOKUP(C467,P:R,3,0)),"",VLOOKUP(C467,P:R,3,0))</f>
        <v/>
      </c>
      <c r="G467">
        <f>ROUND(IF(D467&gt;0,0,ABS(D467)),2)</f>
        <v>0</v>
      </c>
      <c r="H467">
        <f>ROUND(IF(D467&gt;0,D467,),2)</f>
        <v>0</v>
      </c>
      <c r="K467" s="7"/>
      <c r="L467" s="9"/>
      <c r="M467" s="9"/>
      <c r="N467" s="7"/>
      <c r="P467" s="18"/>
      <c r="Q467" s="2"/>
      <c r="R467" s="2"/>
      <c r="AF467" s="14"/>
    </row>
    <row r="468" spans="1:32" customFormat="1" x14ac:dyDescent="0.25">
      <c r="A468" s="9"/>
      <c r="C468" s="14"/>
      <c r="E468" t="str">
        <f>IF(ISNA(VLOOKUP(C468,P:Q,2,0)),"",VLOOKUP(C468,P:Q,2,0))</f>
        <v/>
      </c>
      <c r="F468" s="15" t="str">
        <f>IF(ISNA(VLOOKUP(C468,P:R,3,0)),"",VLOOKUP(C468,P:R,3,0))</f>
        <v/>
      </c>
      <c r="G468">
        <f>ROUND(IF(D468&gt;0,0,ABS(D468)),2)</f>
        <v>0</v>
      </c>
      <c r="H468">
        <f>ROUND(IF(D468&gt;0,D468,),2)</f>
        <v>0</v>
      </c>
      <c r="K468" s="7"/>
      <c r="L468" s="9"/>
      <c r="M468" s="9"/>
      <c r="N468" s="7"/>
      <c r="P468" s="18"/>
      <c r="Q468" s="2"/>
      <c r="R468" s="2"/>
      <c r="AF468" s="14"/>
    </row>
    <row r="469" spans="1:32" customFormat="1" x14ac:dyDescent="0.25">
      <c r="A469" s="9"/>
      <c r="C469" s="14"/>
      <c r="E469" t="str">
        <f>IF(ISNA(VLOOKUP(C469,P:Q,2,0)),"",VLOOKUP(C469,P:Q,2,0))</f>
        <v/>
      </c>
      <c r="F469" s="15" t="str">
        <f>IF(ISNA(VLOOKUP(C469,P:R,3,0)),"",VLOOKUP(C469,P:R,3,0))</f>
        <v/>
      </c>
      <c r="G469">
        <f>ROUND(IF(D469&gt;0,0,ABS(D469)),2)</f>
        <v>0</v>
      </c>
      <c r="H469">
        <f>ROUND(IF(D469&gt;0,D469,),2)</f>
        <v>0</v>
      </c>
      <c r="K469" s="7"/>
      <c r="L469" s="9"/>
      <c r="M469" s="9"/>
      <c r="N469" s="7"/>
      <c r="P469" s="18"/>
      <c r="Q469" s="2"/>
      <c r="R469" s="2"/>
      <c r="AF469" s="14"/>
    </row>
    <row r="470" spans="1:32" customFormat="1" x14ac:dyDescent="0.25">
      <c r="A470" s="9"/>
      <c r="C470" s="14"/>
      <c r="E470" t="str">
        <f>IF(ISNA(VLOOKUP(C470,P:Q,2,0)),"",VLOOKUP(C470,P:Q,2,0))</f>
        <v/>
      </c>
      <c r="F470" s="15" t="str">
        <f>IF(ISNA(VLOOKUP(C470,P:R,3,0)),"",VLOOKUP(C470,P:R,3,0))</f>
        <v/>
      </c>
      <c r="G470">
        <f>ROUND(IF(D470&gt;0,0,ABS(D470)),2)</f>
        <v>0</v>
      </c>
      <c r="H470">
        <f>ROUND(IF(D470&gt;0,D470,),2)</f>
        <v>0</v>
      </c>
      <c r="K470" s="7"/>
      <c r="L470" s="9"/>
      <c r="M470" s="9"/>
      <c r="N470" s="7"/>
      <c r="P470" s="18"/>
      <c r="Q470" s="2"/>
      <c r="R470" s="2"/>
      <c r="AF470" s="14"/>
    </row>
    <row r="471" spans="1:32" customFormat="1" x14ac:dyDescent="0.25">
      <c r="A471" s="9"/>
      <c r="C471" s="14"/>
      <c r="E471" t="str">
        <f>IF(ISNA(VLOOKUP(C471,P:Q,2,0)),"",VLOOKUP(C471,P:Q,2,0))</f>
        <v/>
      </c>
      <c r="F471" s="15" t="str">
        <f>IF(ISNA(VLOOKUP(C471,P:R,3,0)),"",VLOOKUP(C471,P:R,3,0))</f>
        <v/>
      </c>
      <c r="G471">
        <f>ROUND(IF(D471&gt;0,0,ABS(D471)),2)</f>
        <v>0</v>
      </c>
      <c r="H471">
        <f>ROUND(IF(D471&gt;0,D471,),2)</f>
        <v>0</v>
      </c>
      <c r="K471" s="7"/>
      <c r="L471" s="9"/>
      <c r="M471" s="9"/>
      <c r="N471" s="7"/>
      <c r="P471" s="18"/>
      <c r="Q471" s="2"/>
      <c r="R471" s="2"/>
      <c r="AF471" s="14"/>
    </row>
    <row r="472" spans="1:32" customFormat="1" x14ac:dyDescent="0.25">
      <c r="A472" s="9"/>
      <c r="C472" s="14"/>
      <c r="E472" t="str">
        <f>IF(ISNA(VLOOKUP(C472,P:Q,2,0)),"",VLOOKUP(C472,P:Q,2,0))</f>
        <v/>
      </c>
      <c r="F472" s="15" t="str">
        <f>IF(ISNA(VLOOKUP(C472,P:R,3,0)),"",VLOOKUP(C472,P:R,3,0))</f>
        <v/>
      </c>
      <c r="G472">
        <f>ROUND(IF(D472&gt;0,0,ABS(D472)),2)</f>
        <v>0</v>
      </c>
      <c r="H472">
        <f>ROUND(IF(D472&gt;0,D472,),2)</f>
        <v>0</v>
      </c>
      <c r="K472" s="7"/>
      <c r="L472" s="9"/>
      <c r="M472" s="9"/>
      <c r="N472" s="7"/>
      <c r="P472" s="18"/>
      <c r="Q472" s="2"/>
      <c r="R472" s="2"/>
      <c r="AF472" s="14"/>
    </row>
    <row r="473" spans="1:32" customFormat="1" x14ac:dyDescent="0.25">
      <c r="A473" s="9"/>
      <c r="C473" s="14"/>
      <c r="E473" t="str">
        <f>IF(ISNA(VLOOKUP(C473,P:Q,2,0)),"",VLOOKUP(C473,P:Q,2,0))</f>
        <v/>
      </c>
      <c r="F473" s="15" t="str">
        <f>IF(ISNA(VLOOKUP(C473,P:R,3,0)),"",VLOOKUP(C473,P:R,3,0))</f>
        <v/>
      </c>
      <c r="G473">
        <f>ROUND(IF(D473&gt;0,0,ABS(D473)),2)</f>
        <v>0</v>
      </c>
      <c r="H473">
        <f>ROUND(IF(D473&gt;0,D473,),2)</f>
        <v>0</v>
      </c>
      <c r="K473" s="7"/>
      <c r="L473" s="9"/>
      <c r="M473" s="9"/>
      <c r="N473" s="7"/>
      <c r="P473" s="18"/>
      <c r="Q473" s="2"/>
      <c r="R473" s="2"/>
      <c r="AF473" s="14"/>
    </row>
    <row r="474" spans="1:32" customFormat="1" x14ac:dyDescent="0.25">
      <c r="A474" s="9"/>
      <c r="C474" s="14"/>
      <c r="E474" t="str">
        <f>IF(ISNA(VLOOKUP(C474,P:Q,2,0)),"",VLOOKUP(C474,P:Q,2,0))</f>
        <v/>
      </c>
      <c r="F474" s="15" t="str">
        <f>IF(ISNA(VLOOKUP(C474,P:R,3,0)),"",VLOOKUP(C474,P:R,3,0))</f>
        <v/>
      </c>
      <c r="G474">
        <f>ROUND(IF(D474&gt;0,0,ABS(D474)),2)</f>
        <v>0</v>
      </c>
      <c r="H474">
        <f>ROUND(IF(D474&gt;0,D474,),2)</f>
        <v>0</v>
      </c>
      <c r="K474" s="7"/>
      <c r="L474" s="9"/>
      <c r="M474" s="9"/>
      <c r="N474" s="7"/>
      <c r="P474" s="18"/>
      <c r="Q474" s="2"/>
      <c r="R474" s="2"/>
      <c r="AF474" s="14"/>
    </row>
    <row r="475" spans="1:32" customFormat="1" x14ac:dyDescent="0.25">
      <c r="A475" s="9"/>
      <c r="C475" s="14"/>
      <c r="E475" t="str">
        <f>IF(ISNA(VLOOKUP(C475,P:Q,2,0)),"",VLOOKUP(C475,P:Q,2,0))</f>
        <v/>
      </c>
      <c r="F475" s="15" t="str">
        <f>IF(ISNA(VLOOKUP(C475,P:R,3,0)),"",VLOOKUP(C475,P:R,3,0))</f>
        <v/>
      </c>
      <c r="G475">
        <f>ROUND(IF(D475&gt;0,0,ABS(D475)),2)</f>
        <v>0</v>
      </c>
      <c r="H475">
        <f>ROUND(IF(D475&gt;0,D475,),2)</f>
        <v>0</v>
      </c>
      <c r="K475" s="7"/>
      <c r="L475" s="9"/>
      <c r="M475" s="9"/>
      <c r="N475" s="7"/>
      <c r="P475" s="18"/>
      <c r="Q475" s="2"/>
      <c r="R475" s="2"/>
      <c r="AF475" s="14"/>
    </row>
    <row r="476" spans="1:32" customFormat="1" x14ac:dyDescent="0.25">
      <c r="A476" s="9"/>
      <c r="C476" s="14"/>
      <c r="E476" t="str">
        <f>IF(ISNA(VLOOKUP(C476,P:Q,2,0)),"",VLOOKUP(C476,P:Q,2,0))</f>
        <v/>
      </c>
      <c r="F476" s="15" t="str">
        <f>IF(ISNA(VLOOKUP(C476,P:R,3,0)),"",VLOOKUP(C476,P:R,3,0))</f>
        <v/>
      </c>
      <c r="G476">
        <f>ROUND(IF(D476&gt;0,0,ABS(D476)),2)</f>
        <v>0</v>
      </c>
      <c r="H476">
        <f>ROUND(IF(D476&gt;0,D476,),2)</f>
        <v>0</v>
      </c>
      <c r="K476" s="7"/>
      <c r="L476" s="9"/>
      <c r="M476" s="9"/>
      <c r="N476" s="7"/>
      <c r="P476" s="18"/>
      <c r="Q476" s="2"/>
      <c r="R476" s="2"/>
      <c r="AF476" s="14"/>
    </row>
    <row r="477" spans="1:32" customFormat="1" x14ac:dyDescent="0.25">
      <c r="A477" s="9"/>
      <c r="C477" s="14"/>
      <c r="E477" t="str">
        <f>IF(ISNA(VLOOKUP(C477,P:Q,2,0)),"",VLOOKUP(C477,P:Q,2,0))</f>
        <v/>
      </c>
      <c r="F477" s="15" t="str">
        <f>IF(ISNA(VLOOKUP(C477,P:R,3,0)),"",VLOOKUP(C477,P:R,3,0))</f>
        <v/>
      </c>
      <c r="G477">
        <f>ROUND(IF(D477&gt;0,0,ABS(D477)),2)</f>
        <v>0</v>
      </c>
      <c r="H477">
        <f>ROUND(IF(D477&gt;0,D477,),2)</f>
        <v>0</v>
      </c>
      <c r="K477" s="7"/>
      <c r="L477" s="9"/>
      <c r="M477" s="9"/>
      <c r="N477" s="7"/>
      <c r="P477" s="18"/>
      <c r="Q477" s="2"/>
      <c r="R477" s="2"/>
      <c r="AF477" s="14"/>
    </row>
    <row r="478" spans="1:32" customFormat="1" x14ac:dyDescent="0.25">
      <c r="A478" s="9"/>
      <c r="C478" s="14"/>
      <c r="E478" t="str">
        <f>IF(ISNA(VLOOKUP(C478,P:Q,2,0)),"",VLOOKUP(C478,P:Q,2,0))</f>
        <v/>
      </c>
      <c r="F478" s="15" t="str">
        <f>IF(ISNA(VLOOKUP(C478,P:R,3,0)),"",VLOOKUP(C478,P:R,3,0))</f>
        <v/>
      </c>
      <c r="G478">
        <f>ROUND(IF(D478&gt;0,0,ABS(D478)),2)</f>
        <v>0</v>
      </c>
      <c r="H478">
        <f>ROUND(IF(D478&gt;0,D478,),2)</f>
        <v>0</v>
      </c>
      <c r="K478" s="7"/>
      <c r="L478" s="9"/>
      <c r="M478" s="9"/>
      <c r="N478" s="7"/>
      <c r="P478" s="18"/>
      <c r="Q478" s="2"/>
      <c r="R478" s="2"/>
      <c r="AF478" s="14"/>
    </row>
    <row r="479" spans="1:32" customFormat="1" x14ac:dyDescent="0.25">
      <c r="A479" s="9"/>
      <c r="C479" s="14"/>
      <c r="E479" t="str">
        <f>IF(ISNA(VLOOKUP(C479,P:Q,2,0)),"",VLOOKUP(C479,P:Q,2,0))</f>
        <v/>
      </c>
      <c r="F479" s="15" t="str">
        <f>IF(ISNA(VLOOKUP(C479,P:R,3,0)),"",VLOOKUP(C479,P:R,3,0))</f>
        <v/>
      </c>
      <c r="G479">
        <f>ROUND(IF(D479&gt;0,0,ABS(D479)),2)</f>
        <v>0</v>
      </c>
      <c r="H479">
        <f>ROUND(IF(D479&gt;0,D479,),2)</f>
        <v>0</v>
      </c>
      <c r="K479" s="7"/>
      <c r="L479" s="9"/>
      <c r="M479" s="9"/>
      <c r="N479" s="7"/>
      <c r="P479" s="18"/>
      <c r="Q479" s="2"/>
      <c r="R479" s="2"/>
      <c r="AF479" s="14"/>
    </row>
    <row r="480" spans="1:32" customFormat="1" x14ac:dyDescent="0.25">
      <c r="A480" s="9"/>
      <c r="C480" s="14"/>
      <c r="E480" t="str">
        <f>IF(ISNA(VLOOKUP(C480,P:Q,2,0)),"",VLOOKUP(C480,P:Q,2,0))</f>
        <v/>
      </c>
      <c r="F480" s="15" t="str">
        <f>IF(ISNA(VLOOKUP(C480,P:R,3,0)),"",VLOOKUP(C480,P:R,3,0))</f>
        <v/>
      </c>
      <c r="G480">
        <f>ROUND(IF(D480&gt;0,0,ABS(D480)),2)</f>
        <v>0</v>
      </c>
      <c r="H480">
        <f>ROUND(IF(D480&gt;0,D480,),2)</f>
        <v>0</v>
      </c>
      <c r="K480" s="7"/>
      <c r="L480" s="9"/>
      <c r="M480" s="9"/>
      <c r="N480" s="7"/>
      <c r="P480" s="18"/>
      <c r="Q480" s="2"/>
      <c r="R480" s="2"/>
      <c r="AF480" s="14"/>
    </row>
    <row r="481" spans="1:32" customFormat="1" x14ac:dyDescent="0.25">
      <c r="A481" s="9"/>
      <c r="C481" s="14"/>
      <c r="E481" t="str">
        <f>IF(ISNA(VLOOKUP(C481,P:Q,2,0)),"",VLOOKUP(C481,P:Q,2,0))</f>
        <v/>
      </c>
      <c r="F481" s="15" t="str">
        <f>IF(ISNA(VLOOKUP(C481,P:R,3,0)),"",VLOOKUP(C481,P:R,3,0))</f>
        <v/>
      </c>
      <c r="G481">
        <f>ROUND(IF(D481&gt;0,0,ABS(D481)),2)</f>
        <v>0</v>
      </c>
      <c r="H481">
        <f>ROUND(IF(D481&gt;0,D481,),2)</f>
        <v>0</v>
      </c>
      <c r="K481" s="7"/>
      <c r="L481" s="9"/>
      <c r="M481" s="9"/>
      <c r="N481" s="7"/>
      <c r="P481" s="18"/>
      <c r="Q481" s="2"/>
      <c r="R481" s="2"/>
      <c r="AF481" s="14"/>
    </row>
    <row r="482" spans="1:32" customFormat="1" x14ac:dyDescent="0.25">
      <c r="A482" s="9"/>
      <c r="C482" s="14"/>
      <c r="E482" t="str">
        <f>IF(ISNA(VLOOKUP(C482,P:Q,2,0)),"",VLOOKUP(C482,P:Q,2,0))</f>
        <v/>
      </c>
      <c r="F482" s="15" t="str">
        <f>IF(ISNA(VLOOKUP(C482,P:R,3,0)),"",VLOOKUP(C482,P:R,3,0))</f>
        <v/>
      </c>
      <c r="G482">
        <f>ROUND(IF(D482&gt;0,0,ABS(D482)),2)</f>
        <v>0</v>
      </c>
      <c r="H482">
        <f>ROUND(IF(D482&gt;0,D482,),2)</f>
        <v>0</v>
      </c>
      <c r="K482" s="7"/>
      <c r="L482" s="9"/>
      <c r="M482" s="9"/>
      <c r="N482" s="7"/>
      <c r="P482" s="18"/>
      <c r="Q482" s="2"/>
      <c r="R482" s="2"/>
      <c r="AF482" s="14"/>
    </row>
    <row r="483" spans="1:32" customFormat="1" x14ac:dyDescent="0.25">
      <c r="A483" s="9"/>
      <c r="C483" s="14"/>
      <c r="E483" t="str">
        <f>IF(ISNA(VLOOKUP(C483,P:Q,2,0)),"",VLOOKUP(C483,P:Q,2,0))</f>
        <v/>
      </c>
      <c r="F483" s="15" t="str">
        <f>IF(ISNA(VLOOKUP(C483,P:R,3,0)),"",VLOOKUP(C483,P:R,3,0))</f>
        <v/>
      </c>
      <c r="G483">
        <f>ROUND(IF(D483&gt;0,0,ABS(D483)),2)</f>
        <v>0</v>
      </c>
      <c r="H483">
        <f>ROUND(IF(D483&gt;0,D483,),2)</f>
        <v>0</v>
      </c>
      <c r="K483" s="7"/>
      <c r="L483" s="9"/>
      <c r="M483" s="9"/>
      <c r="N483" s="7"/>
      <c r="P483" s="18"/>
      <c r="Q483" s="2"/>
      <c r="R483" s="2"/>
      <c r="AF483" s="14"/>
    </row>
    <row r="484" spans="1:32" customFormat="1" x14ac:dyDescent="0.25">
      <c r="A484" s="9"/>
      <c r="C484" s="14"/>
      <c r="E484" t="str">
        <f>IF(ISNA(VLOOKUP(C484,P:Q,2,0)),"",VLOOKUP(C484,P:Q,2,0))</f>
        <v/>
      </c>
      <c r="F484" s="15" t="str">
        <f>IF(ISNA(VLOOKUP(C484,P:R,3,0)),"",VLOOKUP(C484,P:R,3,0))</f>
        <v/>
      </c>
      <c r="G484">
        <f>ROUND(IF(D484&gt;0,0,ABS(D484)),2)</f>
        <v>0</v>
      </c>
      <c r="H484">
        <f>ROUND(IF(D484&gt;0,D484,),2)</f>
        <v>0</v>
      </c>
      <c r="K484" s="7"/>
      <c r="L484" s="9"/>
      <c r="M484" s="9"/>
      <c r="N484" s="7"/>
      <c r="P484" s="18"/>
      <c r="Q484" s="2"/>
      <c r="R484" s="2"/>
      <c r="AF484" s="14"/>
    </row>
    <row r="485" spans="1:32" customFormat="1" x14ac:dyDescent="0.25">
      <c r="A485" s="9"/>
      <c r="C485" s="14"/>
      <c r="E485" t="str">
        <f>IF(ISNA(VLOOKUP(C485,P:Q,2,0)),"",VLOOKUP(C485,P:Q,2,0))</f>
        <v/>
      </c>
      <c r="F485" s="15" t="str">
        <f>IF(ISNA(VLOOKUP(C485,P:R,3,0)),"",VLOOKUP(C485,P:R,3,0))</f>
        <v/>
      </c>
      <c r="G485">
        <f>ROUND(IF(D485&gt;0,0,ABS(D485)),2)</f>
        <v>0</v>
      </c>
      <c r="H485">
        <f>ROUND(IF(D485&gt;0,D485,),2)</f>
        <v>0</v>
      </c>
      <c r="K485" s="7"/>
      <c r="L485" s="9"/>
      <c r="M485" s="9"/>
      <c r="N485" s="7"/>
      <c r="P485" s="18"/>
      <c r="Q485" s="2"/>
      <c r="R485" s="2"/>
      <c r="AF485" s="14"/>
    </row>
    <row r="486" spans="1:32" customFormat="1" x14ac:dyDescent="0.25">
      <c r="A486" s="9"/>
      <c r="C486" s="14"/>
      <c r="E486" t="str">
        <f>IF(ISNA(VLOOKUP(C486,P:Q,2,0)),"",VLOOKUP(C486,P:Q,2,0))</f>
        <v/>
      </c>
      <c r="F486" s="15" t="str">
        <f>IF(ISNA(VLOOKUP(C486,P:R,3,0)),"",VLOOKUP(C486,P:R,3,0))</f>
        <v/>
      </c>
      <c r="G486">
        <f>ROUND(IF(D486&gt;0,0,ABS(D486)),2)</f>
        <v>0</v>
      </c>
      <c r="H486">
        <f>ROUND(IF(D486&gt;0,D486,),2)</f>
        <v>0</v>
      </c>
      <c r="K486" s="7"/>
      <c r="L486" s="9"/>
      <c r="M486" s="9"/>
      <c r="N486" s="7"/>
      <c r="P486" s="18"/>
      <c r="Q486" s="2"/>
      <c r="R486" s="2"/>
      <c r="AF486" s="14"/>
    </row>
    <row r="487" spans="1:32" customFormat="1" x14ac:dyDescent="0.25">
      <c r="A487" s="9"/>
      <c r="C487" s="14"/>
      <c r="E487" t="str">
        <f>IF(ISNA(VLOOKUP(C487,P:Q,2,0)),"",VLOOKUP(C487,P:Q,2,0))</f>
        <v/>
      </c>
      <c r="F487" s="15" t="str">
        <f>IF(ISNA(VLOOKUP(C487,P:R,3,0)),"",VLOOKUP(C487,P:R,3,0))</f>
        <v/>
      </c>
      <c r="G487">
        <f>ROUND(IF(D487&gt;0,0,ABS(D487)),2)</f>
        <v>0</v>
      </c>
      <c r="H487">
        <f>ROUND(IF(D487&gt;0,D487,),2)</f>
        <v>0</v>
      </c>
      <c r="K487" s="7"/>
      <c r="L487" s="9"/>
      <c r="M487" s="9"/>
      <c r="N487" s="7"/>
      <c r="P487" s="18"/>
      <c r="Q487" s="2"/>
      <c r="R487" s="2"/>
      <c r="AF487" s="14"/>
    </row>
    <row r="488" spans="1:32" customFormat="1" x14ac:dyDescent="0.25">
      <c r="A488" s="9"/>
      <c r="C488" s="14"/>
      <c r="E488" t="str">
        <f>IF(ISNA(VLOOKUP(C488,P:Q,2,0)),"",VLOOKUP(C488,P:Q,2,0))</f>
        <v/>
      </c>
      <c r="F488" s="15" t="str">
        <f>IF(ISNA(VLOOKUP(C488,P:R,3,0)),"",VLOOKUP(C488,P:R,3,0))</f>
        <v/>
      </c>
      <c r="G488">
        <f>ROUND(IF(D488&gt;0,0,ABS(D488)),2)</f>
        <v>0</v>
      </c>
      <c r="H488">
        <f>ROUND(IF(D488&gt;0,D488,),2)</f>
        <v>0</v>
      </c>
      <c r="K488" s="7"/>
      <c r="L488" s="9"/>
      <c r="M488" s="9"/>
      <c r="N488" s="7"/>
      <c r="P488" s="18"/>
      <c r="Q488" s="2"/>
      <c r="R488" s="2"/>
      <c r="AF488" s="14"/>
    </row>
    <row r="489" spans="1:32" customFormat="1" x14ac:dyDescent="0.25">
      <c r="A489" s="9"/>
      <c r="C489" s="14"/>
      <c r="E489" t="str">
        <f>IF(ISNA(VLOOKUP(C489,P:Q,2,0)),"",VLOOKUP(C489,P:Q,2,0))</f>
        <v/>
      </c>
      <c r="F489" s="15" t="str">
        <f>IF(ISNA(VLOOKUP(C489,P:R,3,0)),"",VLOOKUP(C489,P:R,3,0))</f>
        <v/>
      </c>
      <c r="G489">
        <f>ROUND(IF(D489&gt;0,0,ABS(D489)),2)</f>
        <v>0</v>
      </c>
      <c r="H489">
        <f>ROUND(IF(D489&gt;0,D489,),2)</f>
        <v>0</v>
      </c>
      <c r="K489" s="7"/>
      <c r="L489" s="9"/>
      <c r="M489" s="9"/>
      <c r="N489" s="7"/>
      <c r="P489" s="18"/>
      <c r="Q489" s="2"/>
      <c r="R489" s="2"/>
      <c r="AF489" s="14"/>
    </row>
    <row r="490" spans="1:32" customFormat="1" x14ac:dyDescent="0.25">
      <c r="A490" s="9"/>
      <c r="C490" s="14"/>
      <c r="E490" t="str">
        <f>IF(ISNA(VLOOKUP(C490,P:Q,2,0)),"",VLOOKUP(C490,P:Q,2,0))</f>
        <v/>
      </c>
      <c r="F490" s="15" t="str">
        <f>IF(ISNA(VLOOKUP(C490,P:R,3,0)),"",VLOOKUP(C490,P:R,3,0))</f>
        <v/>
      </c>
      <c r="G490">
        <f>ROUND(IF(D490&gt;0,0,ABS(D490)),2)</f>
        <v>0</v>
      </c>
      <c r="H490">
        <f>ROUND(IF(D490&gt;0,D490,),2)</f>
        <v>0</v>
      </c>
      <c r="K490" s="7"/>
      <c r="L490" s="9"/>
      <c r="M490" s="9"/>
      <c r="N490" s="7"/>
      <c r="P490" s="18"/>
      <c r="Q490" s="2"/>
      <c r="R490" s="2"/>
      <c r="AF490" s="14"/>
    </row>
    <row r="491" spans="1:32" customFormat="1" x14ac:dyDescent="0.25">
      <c r="A491" s="9"/>
      <c r="C491" s="14"/>
      <c r="E491" t="str">
        <f>IF(ISNA(VLOOKUP(C491,P:Q,2,0)),"",VLOOKUP(C491,P:Q,2,0))</f>
        <v/>
      </c>
      <c r="F491" s="15" t="str">
        <f>IF(ISNA(VLOOKUP(C491,P:R,3,0)),"",VLOOKUP(C491,P:R,3,0))</f>
        <v/>
      </c>
      <c r="G491">
        <f>ROUND(IF(D491&gt;0,0,ABS(D491)),2)</f>
        <v>0</v>
      </c>
      <c r="H491">
        <f>ROUND(IF(D491&gt;0,D491,),2)</f>
        <v>0</v>
      </c>
      <c r="K491" s="7"/>
      <c r="L491" s="9"/>
      <c r="M491" s="9"/>
      <c r="N491" s="7"/>
      <c r="P491" s="18"/>
      <c r="Q491" s="2"/>
      <c r="R491" s="2"/>
      <c r="AF491" s="14"/>
    </row>
    <row r="492" spans="1:32" customFormat="1" x14ac:dyDescent="0.25">
      <c r="A492" s="9"/>
      <c r="C492" s="14"/>
      <c r="E492" t="str">
        <f>IF(ISNA(VLOOKUP(C492,P:Q,2,0)),"",VLOOKUP(C492,P:Q,2,0))</f>
        <v/>
      </c>
      <c r="F492" s="15" t="str">
        <f>IF(ISNA(VLOOKUP(C492,P:R,3,0)),"",VLOOKUP(C492,P:R,3,0))</f>
        <v/>
      </c>
      <c r="G492">
        <f>ROUND(IF(D492&gt;0,0,ABS(D492)),2)</f>
        <v>0</v>
      </c>
      <c r="H492">
        <f>ROUND(IF(D492&gt;0,D492,),2)</f>
        <v>0</v>
      </c>
      <c r="K492" s="7"/>
      <c r="L492" s="9"/>
      <c r="M492" s="9"/>
      <c r="N492" s="7"/>
      <c r="P492" s="18"/>
      <c r="Q492" s="2"/>
      <c r="R492" s="2"/>
      <c r="AF492" s="14"/>
    </row>
    <row r="493" spans="1:32" customFormat="1" x14ac:dyDescent="0.25">
      <c r="A493" s="9"/>
      <c r="C493" s="14"/>
      <c r="E493" t="str">
        <f>IF(ISNA(VLOOKUP(C493,P:Q,2,0)),"",VLOOKUP(C493,P:Q,2,0))</f>
        <v/>
      </c>
      <c r="F493" s="15" t="str">
        <f>IF(ISNA(VLOOKUP(C493,P:R,3,0)),"",VLOOKUP(C493,P:R,3,0))</f>
        <v/>
      </c>
      <c r="G493">
        <f>ROUND(IF(D493&gt;0,0,ABS(D493)),2)</f>
        <v>0</v>
      </c>
      <c r="H493">
        <f>ROUND(IF(D493&gt;0,D493,),2)</f>
        <v>0</v>
      </c>
      <c r="K493" s="7"/>
      <c r="L493" s="9"/>
      <c r="M493" s="9"/>
      <c r="N493" s="7"/>
      <c r="P493" s="18"/>
      <c r="Q493" s="2"/>
      <c r="R493" s="2"/>
      <c r="AF493" s="14"/>
    </row>
    <row r="494" spans="1:32" customFormat="1" x14ac:dyDescent="0.25">
      <c r="A494" s="9"/>
      <c r="C494" s="14"/>
      <c r="E494" t="str">
        <f>IF(ISNA(VLOOKUP(C494,P:Q,2,0)),"",VLOOKUP(C494,P:Q,2,0))</f>
        <v/>
      </c>
      <c r="F494" s="15" t="str">
        <f>IF(ISNA(VLOOKUP(C494,P:R,3,0)),"",VLOOKUP(C494,P:R,3,0))</f>
        <v/>
      </c>
      <c r="G494">
        <f>ROUND(IF(D494&gt;0,0,ABS(D494)),2)</f>
        <v>0</v>
      </c>
      <c r="H494">
        <f>ROUND(IF(D494&gt;0,D494,),2)</f>
        <v>0</v>
      </c>
      <c r="K494" s="7"/>
      <c r="L494" s="9"/>
      <c r="M494" s="9"/>
      <c r="N494" s="7"/>
      <c r="P494" s="18"/>
      <c r="Q494" s="2"/>
      <c r="R494" s="2"/>
      <c r="AF494" s="14"/>
    </row>
    <row r="495" spans="1:32" customFormat="1" x14ac:dyDescent="0.25">
      <c r="A495" s="9"/>
      <c r="C495" s="14"/>
      <c r="E495" t="str">
        <f>IF(ISNA(VLOOKUP(C495,P:Q,2,0)),"",VLOOKUP(C495,P:Q,2,0))</f>
        <v/>
      </c>
      <c r="F495" s="15" t="str">
        <f>IF(ISNA(VLOOKUP(C495,P:R,3,0)),"",VLOOKUP(C495,P:R,3,0))</f>
        <v/>
      </c>
      <c r="G495">
        <f>ROUND(IF(D495&gt;0,0,ABS(D495)),2)</f>
        <v>0</v>
      </c>
      <c r="H495">
        <f>ROUND(IF(D495&gt;0,D495,),2)</f>
        <v>0</v>
      </c>
      <c r="K495" s="7"/>
      <c r="L495" s="9"/>
      <c r="M495" s="9"/>
      <c r="N495" s="7"/>
      <c r="P495" s="18"/>
      <c r="Q495" s="2"/>
      <c r="R495" s="2"/>
      <c r="AF495" s="14"/>
    </row>
    <row r="496" spans="1:32" customFormat="1" x14ac:dyDescent="0.25">
      <c r="A496" s="9"/>
      <c r="C496" s="14"/>
      <c r="E496" t="str">
        <f>IF(ISNA(VLOOKUP(C496,P:Q,2,0)),"",VLOOKUP(C496,P:Q,2,0))</f>
        <v/>
      </c>
      <c r="F496" s="15" t="str">
        <f>IF(ISNA(VLOOKUP(C496,P:R,3,0)),"",VLOOKUP(C496,P:R,3,0))</f>
        <v/>
      </c>
      <c r="G496">
        <f>ROUND(IF(D496&gt;0,0,ABS(D496)),2)</f>
        <v>0</v>
      </c>
      <c r="H496">
        <f>ROUND(IF(D496&gt;0,D496,),2)</f>
        <v>0</v>
      </c>
      <c r="K496" s="7"/>
      <c r="L496" s="9"/>
      <c r="M496" s="9"/>
      <c r="N496" s="7"/>
      <c r="P496" s="18"/>
      <c r="Q496" s="2"/>
      <c r="R496" s="2"/>
      <c r="AF496" s="14"/>
    </row>
    <row r="497" spans="1:32" customFormat="1" x14ac:dyDescent="0.25">
      <c r="A497" s="9"/>
      <c r="C497" s="14"/>
      <c r="E497" t="str">
        <f>IF(ISNA(VLOOKUP(C497,P:Q,2,0)),"",VLOOKUP(C497,P:Q,2,0))</f>
        <v/>
      </c>
      <c r="F497" s="15" t="str">
        <f>IF(ISNA(VLOOKUP(C497,P:R,3,0)),"",VLOOKUP(C497,P:R,3,0))</f>
        <v/>
      </c>
      <c r="G497">
        <f>ROUND(IF(D497&gt;0,0,ABS(D497)),2)</f>
        <v>0</v>
      </c>
      <c r="H497">
        <f>ROUND(IF(D497&gt;0,D497,),2)</f>
        <v>0</v>
      </c>
      <c r="K497" s="7"/>
      <c r="L497" s="9"/>
      <c r="M497" s="9"/>
      <c r="N497" s="7"/>
      <c r="P497" s="18"/>
      <c r="Q497" s="2"/>
      <c r="R497" s="2"/>
      <c r="AF497" s="14"/>
    </row>
    <row r="498" spans="1:32" customFormat="1" x14ac:dyDescent="0.25">
      <c r="A498" s="9"/>
      <c r="C498" s="14"/>
      <c r="E498" t="str">
        <f>IF(ISNA(VLOOKUP(C498,P:Q,2,0)),"",VLOOKUP(C498,P:Q,2,0))</f>
        <v/>
      </c>
      <c r="F498" s="15" t="str">
        <f>IF(ISNA(VLOOKUP(C498,P:R,3,0)),"",VLOOKUP(C498,P:R,3,0))</f>
        <v/>
      </c>
      <c r="G498">
        <f>ROUND(IF(D498&gt;0,0,ABS(D498)),2)</f>
        <v>0</v>
      </c>
      <c r="H498">
        <f>ROUND(IF(D498&gt;0,D498,),2)</f>
        <v>0</v>
      </c>
      <c r="K498" s="7"/>
      <c r="L498" s="9"/>
      <c r="M498" s="9"/>
      <c r="N498" s="7"/>
      <c r="P498" s="18"/>
      <c r="Q498" s="2"/>
      <c r="R498" s="2"/>
      <c r="AF498" s="14"/>
    </row>
    <row r="499" spans="1:32" customFormat="1" x14ac:dyDescent="0.25">
      <c r="A499" s="9"/>
      <c r="C499" s="14"/>
      <c r="E499" t="str">
        <f>IF(ISNA(VLOOKUP(C499,P:Q,2,0)),"",VLOOKUP(C499,P:Q,2,0))</f>
        <v/>
      </c>
      <c r="F499" s="15" t="str">
        <f>IF(ISNA(VLOOKUP(C499,P:R,3,0)),"",VLOOKUP(C499,P:R,3,0))</f>
        <v/>
      </c>
      <c r="G499">
        <f>ROUND(IF(D499&gt;0,0,ABS(D499)),2)</f>
        <v>0</v>
      </c>
      <c r="H499">
        <f>ROUND(IF(D499&gt;0,D499,),2)</f>
        <v>0</v>
      </c>
      <c r="K499" s="7"/>
      <c r="L499" s="9"/>
      <c r="M499" s="9"/>
      <c r="N499" s="7"/>
      <c r="P499" s="18"/>
      <c r="Q499" s="2"/>
      <c r="R499" s="2"/>
      <c r="AF499" s="14"/>
    </row>
    <row r="500" spans="1:32" customFormat="1" x14ac:dyDescent="0.25">
      <c r="A500" s="9"/>
      <c r="C500" s="14"/>
      <c r="E500" t="str">
        <f>IF(ISNA(VLOOKUP(C500,P:Q,2,0)),"",VLOOKUP(C500,P:Q,2,0))</f>
        <v/>
      </c>
      <c r="F500" s="15" t="str">
        <f>IF(ISNA(VLOOKUP(C500,P:R,3,0)),"",VLOOKUP(C500,P:R,3,0))</f>
        <v/>
      </c>
      <c r="G500">
        <f>ROUND(IF(D500&gt;0,0,ABS(D500)),2)</f>
        <v>0</v>
      </c>
      <c r="H500">
        <f>ROUND(IF(D500&gt;0,D500,),2)</f>
        <v>0</v>
      </c>
      <c r="K500" s="7"/>
      <c r="L500" s="9"/>
      <c r="M500" s="9"/>
      <c r="N500" s="7"/>
      <c r="P500" s="18"/>
      <c r="Q500" s="2"/>
      <c r="R500" s="2"/>
      <c r="AF500" s="14"/>
    </row>
    <row r="501" spans="1:32" customFormat="1" x14ac:dyDescent="0.25">
      <c r="A501" s="9"/>
      <c r="C501" s="14"/>
      <c r="E501" t="str">
        <f>IF(ISNA(VLOOKUP(C501,P:Q,2,0)),"",VLOOKUP(C501,P:Q,2,0))</f>
        <v/>
      </c>
      <c r="F501" s="15" t="str">
        <f>IF(ISNA(VLOOKUP(C501,P:R,3,0)),"",VLOOKUP(C501,P:R,3,0))</f>
        <v/>
      </c>
      <c r="G501">
        <f>ROUND(IF(D501&gt;0,0,ABS(D501)),2)</f>
        <v>0</v>
      </c>
      <c r="H501">
        <f>ROUND(IF(D501&gt;0,D501,),2)</f>
        <v>0</v>
      </c>
      <c r="K501" s="7"/>
      <c r="L501" s="9"/>
      <c r="M501" s="9"/>
      <c r="N501" s="7"/>
      <c r="P501" s="18"/>
      <c r="Q501" s="2"/>
      <c r="R501" s="2"/>
      <c r="AF501" s="14"/>
    </row>
    <row r="502" spans="1:32" customFormat="1" x14ac:dyDescent="0.25">
      <c r="A502" s="9"/>
      <c r="C502" s="14"/>
      <c r="E502" t="str">
        <f>IF(ISNA(VLOOKUP(C502,P:Q,2,0)),"",VLOOKUP(C502,P:Q,2,0))</f>
        <v/>
      </c>
      <c r="F502" s="15" t="str">
        <f>IF(ISNA(VLOOKUP(C502,P:R,3,0)),"",VLOOKUP(C502,P:R,3,0))</f>
        <v/>
      </c>
      <c r="G502">
        <f>ROUND(IF(D502&gt;0,0,ABS(D502)),2)</f>
        <v>0</v>
      </c>
      <c r="H502">
        <f>ROUND(IF(D502&gt;0,D502,),2)</f>
        <v>0</v>
      </c>
      <c r="K502" s="7"/>
      <c r="L502" s="9"/>
      <c r="M502" s="9"/>
      <c r="N502" s="7"/>
      <c r="P502" s="18"/>
      <c r="Q502" s="2"/>
      <c r="R502" s="2"/>
      <c r="AF502" s="14"/>
    </row>
    <row r="503" spans="1:32" customFormat="1" x14ac:dyDescent="0.25">
      <c r="A503" s="9"/>
      <c r="C503" s="14"/>
      <c r="E503" t="str">
        <f>IF(ISNA(VLOOKUP(C503,P:Q,2,0)),"",VLOOKUP(C503,P:Q,2,0))</f>
        <v/>
      </c>
      <c r="F503" s="15" t="str">
        <f>IF(ISNA(VLOOKUP(C503,P:R,3,0)),"",VLOOKUP(C503,P:R,3,0))</f>
        <v/>
      </c>
      <c r="G503">
        <f>ROUND(IF(D503&gt;0,0,ABS(D503)),2)</f>
        <v>0</v>
      </c>
      <c r="H503">
        <f>ROUND(IF(D503&gt;0,D503,),2)</f>
        <v>0</v>
      </c>
      <c r="K503" s="7"/>
      <c r="L503" s="9"/>
      <c r="M503" s="9"/>
      <c r="N503" s="7"/>
      <c r="P503" s="18"/>
      <c r="Q503" s="2"/>
      <c r="R503" s="2"/>
      <c r="AF503" s="14"/>
    </row>
    <row r="504" spans="1:32" customFormat="1" x14ac:dyDescent="0.25">
      <c r="A504" s="9"/>
      <c r="C504" s="14"/>
      <c r="E504" t="str">
        <f>IF(ISNA(VLOOKUP(C504,P:Q,2,0)),"",VLOOKUP(C504,P:Q,2,0))</f>
        <v/>
      </c>
      <c r="F504" s="15" t="str">
        <f>IF(ISNA(VLOOKUP(C504,P:R,3,0)),"",VLOOKUP(C504,P:R,3,0))</f>
        <v/>
      </c>
      <c r="G504">
        <f>ROUND(IF(D504&gt;0,0,ABS(D504)),2)</f>
        <v>0</v>
      </c>
      <c r="H504">
        <f>ROUND(IF(D504&gt;0,D504,),2)</f>
        <v>0</v>
      </c>
      <c r="K504" s="7"/>
      <c r="L504" s="9"/>
      <c r="M504" s="9"/>
      <c r="N504" s="7"/>
      <c r="P504" s="18"/>
      <c r="Q504" s="2"/>
      <c r="R504" s="2"/>
      <c r="AF504" s="14"/>
    </row>
    <row r="505" spans="1:32" customFormat="1" x14ac:dyDescent="0.25">
      <c r="A505" s="9"/>
      <c r="C505" s="14"/>
      <c r="E505" t="str">
        <f>IF(ISNA(VLOOKUP(C505,P:Q,2,0)),"",VLOOKUP(C505,P:Q,2,0))</f>
        <v/>
      </c>
      <c r="F505" s="15" t="str">
        <f>IF(ISNA(VLOOKUP(C505,P:R,3,0)),"",VLOOKUP(C505,P:R,3,0))</f>
        <v/>
      </c>
      <c r="G505">
        <f>ROUND(IF(D505&gt;0,0,ABS(D505)),2)</f>
        <v>0</v>
      </c>
      <c r="H505">
        <f>ROUND(IF(D505&gt;0,D505,),2)</f>
        <v>0</v>
      </c>
      <c r="K505" s="7"/>
      <c r="L505" s="9"/>
      <c r="M505" s="9"/>
      <c r="N505" s="7"/>
      <c r="P505" s="18"/>
      <c r="Q505" s="2"/>
      <c r="R505" s="2"/>
      <c r="AF505" s="14"/>
    </row>
    <row r="506" spans="1:32" customFormat="1" x14ac:dyDescent="0.25">
      <c r="A506" s="9"/>
      <c r="C506" s="14"/>
      <c r="E506" t="str">
        <f>IF(ISNA(VLOOKUP(C506,P:Q,2,0)),"",VLOOKUP(C506,P:Q,2,0))</f>
        <v/>
      </c>
      <c r="F506" s="15" t="str">
        <f>IF(ISNA(VLOOKUP(C506,P:R,3,0)),"",VLOOKUP(C506,P:R,3,0))</f>
        <v/>
      </c>
      <c r="G506">
        <f>ROUND(IF(D506&gt;0,0,ABS(D506)),2)</f>
        <v>0</v>
      </c>
      <c r="H506">
        <f>ROUND(IF(D506&gt;0,D506,),2)</f>
        <v>0</v>
      </c>
      <c r="K506" s="7"/>
      <c r="L506" s="9"/>
      <c r="M506" s="9"/>
      <c r="N506" s="7"/>
      <c r="P506" s="18"/>
      <c r="Q506" s="2"/>
      <c r="R506" s="2"/>
      <c r="AF506" s="14"/>
    </row>
    <row r="507" spans="1:32" customFormat="1" x14ac:dyDescent="0.25">
      <c r="A507" s="9"/>
      <c r="C507" s="14"/>
      <c r="E507" t="str">
        <f>IF(ISNA(VLOOKUP(C507,P:Q,2,0)),"",VLOOKUP(C507,P:Q,2,0))</f>
        <v/>
      </c>
      <c r="F507" s="15" t="str">
        <f>IF(ISNA(VLOOKUP(C507,P:R,3,0)),"",VLOOKUP(C507,P:R,3,0))</f>
        <v/>
      </c>
      <c r="G507">
        <f>ROUND(IF(D507&gt;0,0,ABS(D507)),2)</f>
        <v>0</v>
      </c>
      <c r="H507">
        <f>ROUND(IF(D507&gt;0,D507,),2)</f>
        <v>0</v>
      </c>
      <c r="K507" s="7"/>
      <c r="L507" s="9"/>
      <c r="M507" s="9"/>
      <c r="N507" s="7"/>
      <c r="P507" s="18"/>
      <c r="Q507" s="2"/>
      <c r="R507" s="2"/>
      <c r="AF507" s="14"/>
    </row>
    <row r="508" spans="1:32" customFormat="1" x14ac:dyDescent="0.25">
      <c r="A508" s="9"/>
      <c r="C508" s="14"/>
      <c r="E508" t="str">
        <f>IF(ISNA(VLOOKUP(C508,P:Q,2,0)),"",VLOOKUP(C508,P:Q,2,0))</f>
        <v/>
      </c>
      <c r="F508" s="15" t="str">
        <f>IF(ISNA(VLOOKUP(C508,P:R,3,0)),"",VLOOKUP(C508,P:R,3,0))</f>
        <v/>
      </c>
      <c r="G508">
        <f>ROUND(IF(D508&gt;0,0,ABS(D508)),2)</f>
        <v>0</v>
      </c>
      <c r="H508">
        <f>ROUND(IF(D508&gt;0,D508,),2)</f>
        <v>0</v>
      </c>
      <c r="K508" s="7"/>
      <c r="L508" s="9"/>
      <c r="M508" s="9"/>
      <c r="N508" s="7"/>
      <c r="P508" s="18"/>
      <c r="Q508" s="2"/>
      <c r="R508" s="2"/>
      <c r="AF508" s="14"/>
    </row>
    <row r="509" spans="1:32" customFormat="1" x14ac:dyDescent="0.25">
      <c r="A509" s="9"/>
      <c r="C509" s="14"/>
      <c r="E509" t="str">
        <f>IF(ISNA(VLOOKUP(C509,P:Q,2,0)),"",VLOOKUP(C509,P:Q,2,0))</f>
        <v/>
      </c>
      <c r="F509" s="15" t="str">
        <f>IF(ISNA(VLOOKUP(C509,P:R,3,0)),"",VLOOKUP(C509,P:R,3,0))</f>
        <v/>
      </c>
      <c r="G509">
        <f>ROUND(IF(D509&gt;0,0,ABS(D509)),2)</f>
        <v>0</v>
      </c>
      <c r="H509">
        <f>ROUND(IF(D509&gt;0,D509,),2)</f>
        <v>0</v>
      </c>
      <c r="K509" s="7"/>
      <c r="L509" s="9"/>
      <c r="M509" s="9"/>
      <c r="N509" s="7"/>
      <c r="P509" s="18"/>
      <c r="Q509" s="2"/>
      <c r="R509" s="2"/>
      <c r="AF509" s="14"/>
    </row>
    <row r="510" spans="1:32" customFormat="1" x14ac:dyDescent="0.25">
      <c r="A510" s="9"/>
      <c r="C510" s="14"/>
      <c r="E510" t="str">
        <f>IF(ISNA(VLOOKUP(C510,P:Q,2,0)),"",VLOOKUP(C510,P:Q,2,0))</f>
        <v/>
      </c>
      <c r="F510" s="15" t="str">
        <f>IF(ISNA(VLOOKUP(C510,P:R,3,0)),"",VLOOKUP(C510,P:R,3,0))</f>
        <v/>
      </c>
      <c r="G510">
        <f>ROUND(IF(D510&gt;0,0,ABS(D510)),2)</f>
        <v>0</v>
      </c>
      <c r="H510">
        <f>ROUND(IF(D510&gt;0,D510,),2)</f>
        <v>0</v>
      </c>
      <c r="K510" s="7"/>
      <c r="L510" s="9"/>
      <c r="M510" s="9"/>
      <c r="N510" s="7"/>
      <c r="P510" s="18"/>
      <c r="Q510" s="2"/>
      <c r="R510" s="2"/>
      <c r="AF510" s="14"/>
    </row>
    <row r="511" spans="1:32" customFormat="1" x14ac:dyDescent="0.25">
      <c r="A511" s="9"/>
      <c r="C511" s="14"/>
      <c r="E511" t="str">
        <f>IF(ISNA(VLOOKUP(C511,P:Q,2,0)),"",VLOOKUP(C511,P:Q,2,0))</f>
        <v/>
      </c>
      <c r="F511" s="15" t="str">
        <f>IF(ISNA(VLOOKUP(C511,P:R,3,0)),"",VLOOKUP(C511,P:R,3,0))</f>
        <v/>
      </c>
      <c r="G511">
        <f>ROUND(IF(D511&gt;0,0,ABS(D511)),2)</f>
        <v>0</v>
      </c>
      <c r="H511">
        <f>ROUND(IF(D511&gt;0,D511,),2)</f>
        <v>0</v>
      </c>
      <c r="K511" s="7"/>
      <c r="L511" s="9"/>
      <c r="M511" s="9"/>
      <c r="N511" s="7"/>
      <c r="P511" s="18"/>
      <c r="Q511" s="2"/>
      <c r="R511" s="2"/>
      <c r="AF511" s="14"/>
    </row>
    <row r="512" spans="1:32" customFormat="1" x14ac:dyDescent="0.25">
      <c r="A512" s="9"/>
      <c r="C512" s="14"/>
      <c r="E512" t="str">
        <f>IF(ISNA(VLOOKUP(C512,P:Q,2,0)),"",VLOOKUP(C512,P:Q,2,0))</f>
        <v/>
      </c>
      <c r="F512" s="15" t="str">
        <f>IF(ISNA(VLOOKUP(C512,P:R,3,0)),"",VLOOKUP(C512,P:R,3,0))</f>
        <v/>
      </c>
      <c r="G512">
        <f>ROUND(IF(D512&gt;0,0,ABS(D512)),2)</f>
        <v>0</v>
      </c>
      <c r="H512">
        <f>ROUND(IF(D512&gt;0,D512,),2)</f>
        <v>0</v>
      </c>
      <c r="K512" s="7"/>
      <c r="L512" s="9"/>
      <c r="M512" s="9"/>
      <c r="N512" s="7"/>
      <c r="P512" s="18"/>
      <c r="Q512" s="2"/>
      <c r="R512" s="2"/>
      <c r="AF512" s="14"/>
    </row>
    <row r="513" spans="1:32" customFormat="1" x14ac:dyDescent="0.25">
      <c r="A513" s="9"/>
      <c r="C513" s="14"/>
      <c r="E513" t="str">
        <f>IF(ISNA(VLOOKUP(C513,P:Q,2,0)),"",VLOOKUP(C513,P:Q,2,0))</f>
        <v/>
      </c>
      <c r="F513" s="15" t="str">
        <f>IF(ISNA(VLOOKUP(C513,P:R,3,0)),"",VLOOKUP(C513,P:R,3,0))</f>
        <v/>
      </c>
      <c r="G513">
        <f>ROUND(IF(D513&gt;0,0,ABS(D513)),2)</f>
        <v>0</v>
      </c>
      <c r="H513">
        <f>ROUND(IF(D513&gt;0,D513,),2)</f>
        <v>0</v>
      </c>
      <c r="K513" s="7"/>
      <c r="L513" s="9"/>
      <c r="M513" s="9"/>
      <c r="N513" s="7"/>
      <c r="P513" s="18"/>
      <c r="Q513" s="2"/>
      <c r="R513" s="2"/>
      <c r="AF513" s="14"/>
    </row>
    <row r="514" spans="1:32" customFormat="1" x14ac:dyDescent="0.25">
      <c r="A514" s="9"/>
      <c r="C514" s="14"/>
      <c r="E514" t="str">
        <f>IF(ISNA(VLOOKUP(C514,P:Q,2,0)),"",VLOOKUP(C514,P:Q,2,0))</f>
        <v/>
      </c>
      <c r="F514" s="15" t="str">
        <f>IF(ISNA(VLOOKUP(C514,P:R,3,0)),"",VLOOKUP(C514,P:R,3,0))</f>
        <v/>
      </c>
      <c r="G514">
        <f>ROUND(IF(D514&gt;0,0,ABS(D514)),2)</f>
        <v>0</v>
      </c>
      <c r="H514">
        <f>ROUND(IF(D514&gt;0,D514,),2)</f>
        <v>0</v>
      </c>
      <c r="K514" s="7"/>
      <c r="L514" s="9"/>
      <c r="M514" s="9"/>
      <c r="N514" s="7"/>
      <c r="P514" s="18"/>
      <c r="Q514" s="2"/>
      <c r="R514" s="2"/>
      <c r="AF514" s="14"/>
    </row>
    <row r="515" spans="1:32" customFormat="1" x14ac:dyDescent="0.25">
      <c r="A515" s="9"/>
      <c r="C515" s="14"/>
      <c r="E515" t="str">
        <f>IF(ISNA(VLOOKUP(C515,P:Q,2,0)),"",VLOOKUP(C515,P:Q,2,0))</f>
        <v/>
      </c>
      <c r="F515" s="15" t="str">
        <f>IF(ISNA(VLOOKUP(C515,P:R,3,0)),"",VLOOKUP(C515,P:R,3,0))</f>
        <v/>
      </c>
      <c r="G515">
        <f>ROUND(IF(D515&gt;0,0,ABS(D515)),2)</f>
        <v>0</v>
      </c>
      <c r="H515">
        <f>ROUND(IF(D515&gt;0,D515,),2)</f>
        <v>0</v>
      </c>
      <c r="K515" s="7"/>
      <c r="L515" s="9"/>
      <c r="M515" s="9"/>
      <c r="N515" s="7"/>
      <c r="P515" s="18"/>
      <c r="Q515" s="2"/>
      <c r="R515" s="2"/>
      <c r="AF515" s="14"/>
    </row>
    <row r="516" spans="1:32" customFormat="1" x14ac:dyDescent="0.25">
      <c r="A516" s="9"/>
      <c r="C516" s="14"/>
      <c r="E516" t="str">
        <f>IF(ISNA(VLOOKUP(C516,P:Q,2,0)),"",VLOOKUP(C516,P:Q,2,0))</f>
        <v/>
      </c>
      <c r="F516" s="15" t="str">
        <f>IF(ISNA(VLOOKUP(C516,P:R,3,0)),"",VLOOKUP(C516,P:R,3,0))</f>
        <v/>
      </c>
      <c r="G516">
        <f>ROUND(IF(D516&gt;0,0,ABS(D516)),2)</f>
        <v>0</v>
      </c>
      <c r="H516">
        <f>ROUND(IF(D516&gt;0,D516,),2)</f>
        <v>0</v>
      </c>
      <c r="K516" s="7"/>
      <c r="L516" s="9"/>
      <c r="M516" s="9"/>
      <c r="N516" s="7"/>
      <c r="P516" s="18"/>
      <c r="Q516" s="2"/>
      <c r="R516" s="2"/>
      <c r="AF516" s="14"/>
    </row>
    <row r="517" spans="1:32" customFormat="1" x14ac:dyDescent="0.25">
      <c r="A517" s="9"/>
      <c r="C517" s="14"/>
      <c r="E517" t="str">
        <f>IF(ISNA(VLOOKUP(C517,P:Q,2,0)),"",VLOOKUP(C517,P:Q,2,0))</f>
        <v/>
      </c>
      <c r="F517" s="15" t="str">
        <f>IF(ISNA(VLOOKUP(C517,P:R,3,0)),"",VLOOKUP(C517,P:R,3,0))</f>
        <v/>
      </c>
      <c r="G517">
        <f>ROUND(IF(D517&gt;0,0,ABS(D517)),2)</f>
        <v>0</v>
      </c>
      <c r="H517">
        <f>ROUND(IF(D517&gt;0,D517,),2)</f>
        <v>0</v>
      </c>
      <c r="K517" s="7"/>
      <c r="L517" s="9"/>
      <c r="M517" s="9"/>
      <c r="N517" s="7"/>
      <c r="P517" s="18"/>
      <c r="Q517" s="2"/>
      <c r="R517" s="2"/>
      <c r="AF517" s="14"/>
    </row>
    <row r="518" spans="1:32" customFormat="1" x14ac:dyDescent="0.25">
      <c r="A518" s="9"/>
      <c r="C518" s="14"/>
      <c r="E518" t="str">
        <f>IF(ISNA(VLOOKUP(C518,P:Q,2,0)),"",VLOOKUP(C518,P:Q,2,0))</f>
        <v/>
      </c>
      <c r="F518" s="15" t="str">
        <f>IF(ISNA(VLOOKUP(C518,P:R,3,0)),"",VLOOKUP(C518,P:R,3,0))</f>
        <v/>
      </c>
      <c r="G518">
        <f>ROUND(IF(D518&gt;0,0,ABS(D518)),2)</f>
        <v>0</v>
      </c>
      <c r="H518">
        <f>ROUND(IF(D518&gt;0,D518,),2)</f>
        <v>0</v>
      </c>
      <c r="K518" s="7"/>
      <c r="L518" s="9"/>
      <c r="M518" s="9"/>
      <c r="N518" s="7"/>
      <c r="P518" s="18"/>
      <c r="Q518" s="2"/>
      <c r="R518" s="2"/>
      <c r="AF518" s="14"/>
    </row>
    <row r="519" spans="1:32" customFormat="1" x14ac:dyDescent="0.25">
      <c r="A519" s="9"/>
      <c r="C519" s="14"/>
      <c r="E519" t="str">
        <f>IF(ISNA(VLOOKUP(C519,P:Q,2,0)),"",VLOOKUP(C519,P:Q,2,0))</f>
        <v/>
      </c>
      <c r="F519" s="15" t="str">
        <f>IF(ISNA(VLOOKUP(C519,P:R,3,0)),"",VLOOKUP(C519,P:R,3,0))</f>
        <v/>
      </c>
      <c r="G519">
        <f>ROUND(IF(D519&gt;0,0,ABS(D519)),2)</f>
        <v>0</v>
      </c>
      <c r="H519">
        <f>ROUND(IF(D519&gt;0,D519,),2)</f>
        <v>0</v>
      </c>
      <c r="K519" s="7"/>
      <c r="L519" s="9"/>
      <c r="M519" s="9"/>
      <c r="N519" s="7"/>
      <c r="P519" s="18"/>
      <c r="Q519" s="2"/>
      <c r="R519" s="2"/>
      <c r="AF519" s="14"/>
    </row>
    <row r="520" spans="1:32" customFormat="1" x14ac:dyDescent="0.25">
      <c r="A520" s="9"/>
      <c r="C520" s="14"/>
      <c r="E520" t="str">
        <f>IF(ISNA(VLOOKUP(C520,P:Q,2,0)),"",VLOOKUP(C520,P:Q,2,0))</f>
        <v/>
      </c>
      <c r="F520" s="15" t="str">
        <f>IF(ISNA(VLOOKUP(C520,P:R,3,0)),"",VLOOKUP(C520,P:R,3,0))</f>
        <v/>
      </c>
      <c r="G520">
        <f>ROUND(IF(D520&gt;0,0,ABS(D520)),2)</f>
        <v>0</v>
      </c>
      <c r="H520">
        <f>ROUND(IF(D520&gt;0,D520,),2)</f>
        <v>0</v>
      </c>
      <c r="K520" s="7"/>
      <c r="L520" s="9"/>
      <c r="M520" s="9"/>
      <c r="N520" s="7"/>
      <c r="P520" s="18"/>
      <c r="Q520" s="2"/>
      <c r="R520" s="2"/>
      <c r="AF520" s="14"/>
    </row>
    <row r="521" spans="1:32" customFormat="1" x14ac:dyDescent="0.25">
      <c r="A521" s="9"/>
      <c r="C521" s="14"/>
      <c r="E521" t="str">
        <f>IF(ISNA(VLOOKUP(C521,P:Q,2,0)),"",VLOOKUP(C521,P:Q,2,0))</f>
        <v/>
      </c>
      <c r="F521" s="15" t="str">
        <f>IF(ISNA(VLOOKUP(C521,P:R,3,0)),"",VLOOKUP(C521,P:R,3,0))</f>
        <v/>
      </c>
      <c r="G521">
        <f>ROUND(IF(D521&gt;0,0,ABS(D521)),2)</f>
        <v>0</v>
      </c>
      <c r="H521">
        <f>ROUND(IF(D521&gt;0,D521,),2)</f>
        <v>0</v>
      </c>
      <c r="K521" s="7"/>
      <c r="L521" s="9"/>
      <c r="M521" s="9"/>
      <c r="N521" s="7"/>
      <c r="P521" s="18"/>
      <c r="Q521" s="2"/>
      <c r="R521" s="2"/>
      <c r="AF521" s="14"/>
    </row>
    <row r="522" spans="1:32" customFormat="1" x14ac:dyDescent="0.25">
      <c r="A522" s="9"/>
      <c r="C522" s="14"/>
      <c r="E522" t="str">
        <f>IF(ISNA(VLOOKUP(C522,P:Q,2,0)),"",VLOOKUP(C522,P:Q,2,0))</f>
        <v/>
      </c>
      <c r="F522" s="15" t="str">
        <f>IF(ISNA(VLOOKUP(C522,P:R,3,0)),"",VLOOKUP(C522,P:R,3,0))</f>
        <v/>
      </c>
      <c r="G522">
        <f>ROUND(IF(D522&gt;0,0,ABS(D522)),2)</f>
        <v>0</v>
      </c>
      <c r="H522">
        <f>ROUND(IF(D522&gt;0,D522,),2)</f>
        <v>0</v>
      </c>
      <c r="K522" s="7"/>
      <c r="L522" s="9"/>
      <c r="M522" s="9"/>
      <c r="N522" s="7"/>
      <c r="P522" s="18"/>
      <c r="Q522" s="2"/>
      <c r="R522" s="2"/>
      <c r="AF522" s="14"/>
    </row>
    <row r="523" spans="1:32" customFormat="1" x14ac:dyDescent="0.25">
      <c r="A523" s="9"/>
      <c r="C523" s="14"/>
      <c r="E523" t="str">
        <f>IF(ISNA(VLOOKUP(C523,P:Q,2,0)),"",VLOOKUP(C523,P:Q,2,0))</f>
        <v/>
      </c>
      <c r="F523" s="15" t="str">
        <f>IF(ISNA(VLOOKUP(C523,P:R,3,0)),"",VLOOKUP(C523,P:R,3,0))</f>
        <v/>
      </c>
      <c r="G523">
        <f>ROUND(IF(D523&gt;0,0,ABS(D523)),2)</f>
        <v>0</v>
      </c>
      <c r="H523">
        <f>ROUND(IF(D523&gt;0,D523,),2)</f>
        <v>0</v>
      </c>
      <c r="K523" s="7"/>
      <c r="L523" s="9"/>
      <c r="M523" s="9"/>
      <c r="N523" s="7"/>
      <c r="P523" s="18"/>
      <c r="Q523" s="2"/>
      <c r="R523" s="2"/>
      <c r="AF523" s="14"/>
    </row>
    <row r="524" spans="1:32" customFormat="1" x14ac:dyDescent="0.25">
      <c r="A524" s="9"/>
      <c r="C524" s="14"/>
      <c r="E524" t="str">
        <f>IF(ISNA(VLOOKUP(C524,P:Q,2,0)),"",VLOOKUP(C524,P:Q,2,0))</f>
        <v/>
      </c>
      <c r="F524" s="15" t="str">
        <f>IF(ISNA(VLOOKUP(C524,P:R,3,0)),"",VLOOKUP(C524,P:R,3,0))</f>
        <v/>
      </c>
      <c r="G524">
        <f>ROUND(IF(D524&gt;0,0,ABS(D524)),2)</f>
        <v>0</v>
      </c>
      <c r="H524">
        <f>ROUND(IF(D524&gt;0,D524,),2)</f>
        <v>0</v>
      </c>
      <c r="K524" s="7"/>
      <c r="L524" s="9"/>
      <c r="M524" s="9"/>
      <c r="N524" s="7"/>
      <c r="P524" s="18"/>
      <c r="Q524" s="2"/>
      <c r="R524" s="2"/>
      <c r="AF524" s="14"/>
    </row>
    <row r="525" spans="1:32" customFormat="1" x14ac:dyDescent="0.25">
      <c r="A525" s="9"/>
      <c r="C525" s="14"/>
      <c r="E525" t="str">
        <f>IF(ISNA(VLOOKUP(C525,P:Q,2,0)),"",VLOOKUP(C525,P:Q,2,0))</f>
        <v/>
      </c>
      <c r="F525" s="15" t="str">
        <f>IF(ISNA(VLOOKUP(C525,P:R,3,0)),"",VLOOKUP(C525,P:R,3,0))</f>
        <v/>
      </c>
      <c r="G525">
        <f>ROUND(IF(D525&gt;0,0,ABS(D525)),2)</f>
        <v>0</v>
      </c>
      <c r="H525">
        <f>ROUND(IF(D525&gt;0,D525,),2)</f>
        <v>0</v>
      </c>
      <c r="K525" s="7"/>
      <c r="L525" s="9"/>
      <c r="M525" s="9"/>
      <c r="N525" s="7"/>
      <c r="P525" s="18"/>
      <c r="Q525" s="2"/>
      <c r="R525" s="2"/>
      <c r="AF525" s="14"/>
    </row>
    <row r="526" spans="1:32" customFormat="1" x14ac:dyDescent="0.25">
      <c r="A526" s="9"/>
      <c r="C526" s="14"/>
      <c r="E526" t="str">
        <f>IF(ISNA(VLOOKUP(C526,P:Q,2,0)),"",VLOOKUP(C526,P:Q,2,0))</f>
        <v/>
      </c>
      <c r="F526" s="15" t="str">
        <f>IF(ISNA(VLOOKUP(C526,P:R,3,0)),"",VLOOKUP(C526,P:R,3,0))</f>
        <v/>
      </c>
      <c r="G526">
        <f>ROUND(IF(D526&gt;0,0,ABS(D526)),2)</f>
        <v>0</v>
      </c>
      <c r="H526">
        <f>ROUND(IF(D526&gt;0,D526,),2)</f>
        <v>0</v>
      </c>
      <c r="K526" s="7"/>
      <c r="L526" s="9"/>
      <c r="M526" s="9"/>
      <c r="N526" s="7"/>
      <c r="P526" s="18"/>
      <c r="Q526" s="2"/>
      <c r="R526" s="2"/>
      <c r="AF526" s="14"/>
    </row>
    <row r="527" spans="1:32" customFormat="1" x14ac:dyDescent="0.25">
      <c r="A527" s="9"/>
      <c r="C527" s="14"/>
      <c r="E527" t="str">
        <f>IF(ISNA(VLOOKUP(C527,P:Q,2,0)),"",VLOOKUP(C527,P:Q,2,0))</f>
        <v/>
      </c>
      <c r="F527" s="15" t="str">
        <f>IF(ISNA(VLOOKUP(C527,P:R,3,0)),"",VLOOKUP(C527,P:R,3,0))</f>
        <v/>
      </c>
      <c r="G527">
        <f>ROUND(IF(D527&gt;0,0,ABS(D527)),2)</f>
        <v>0</v>
      </c>
      <c r="H527">
        <f>ROUND(IF(D527&gt;0,D527,),2)</f>
        <v>0</v>
      </c>
      <c r="K527" s="7"/>
      <c r="L527" s="9"/>
      <c r="M527" s="9"/>
      <c r="N527" s="7"/>
      <c r="P527" s="18"/>
      <c r="Q527" s="2"/>
      <c r="R527" s="2"/>
      <c r="AF527" s="14"/>
    </row>
    <row r="528" spans="1:32" customFormat="1" x14ac:dyDescent="0.25">
      <c r="A528" s="9"/>
      <c r="C528" s="14"/>
      <c r="E528" t="str">
        <f>IF(ISNA(VLOOKUP(C528,P:Q,2,0)),"",VLOOKUP(C528,P:Q,2,0))</f>
        <v/>
      </c>
      <c r="F528" s="15" t="str">
        <f>IF(ISNA(VLOOKUP(C528,P:R,3,0)),"",VLOOKUP(C528,P:R,3,0))</f>
        <v/>
      </c>
      <c r="G528">
        <f>ROUND(IF(D528&gt;0,0,ABS(D528)),2)</f>
        <v>0</v>
      </c>
      <c r="H528">
        <f>ROUND(IF(D528&gt;0,D528,),2)</f>
        <v>0</v>
      </c>
      <c r="K528" s="7"/>
      <c r="L528" s="9"/>
      <c r="M528" s="9"/>
      <c r="N528" s="7"/>
      <c r="P528" s="18"/>
      <c r="Q528" s="2"/>
      <c r="R528" s="2"/>
      <c r="AF528" s="14"/>
    </row>
    <row r="529" spans="1:32" customFormat="1" x14ac:dyDescent="0.25">
      <c r="A529" s="9"/>
      <c r="C529" s="14"/>
      <c r="E529" t="str">
        <f>IF(ISNA(VLOOKUP(C529,P:Q,2,0)),"",VLOOKUP(C529,P:Q,2,0))</f>
        <v/>
      </c>
      <c r="F529" s="15" t="str">
        <f>IF(ISNA(VLOOKUP(C529,P:R,3,0)),"",VLOOKUP(C529,P:R,3,0))</f>
        <v/>
      </c>
      <c r="G529">
        <f>ROUND(IF(D529&gt;0,0,ABS(D529)),2)</f>
        <v>0</v>
      </c>
      <c r="H529">
        <f>ROUND(IF(D529&gt;0,D529,),2)</f>
        <v>0</v>
      </c>
      <c r="K529" s="7"/>
      <c r="L529" s="9"/>
      <c r="M529" s="9"/>
      <c r="N529" s="7"/>
      <c r="P529" s="18"/>
      <c r="Q529" s="2"/>
      <c r="R529" s="2"/>
      <c r="AF529" s="14"/>
    </row>
    <row r="530" spans="1:32" customFormat="1" x14ac:dyDescent="0.25">
      <c r="A530" s="9"/>
      <c r="C530" s="14"/>
      <c r="E530" t="str">
        <f>IF(ISNA(VLOOKUP(C530,P:Q,2,0)),"",VLOOKUP(C530,P:Q,2,0))</f>
        <v/>
      </c>
      <c r="F530" s="15" t="str">
        <f>IF(ISNA(VLOOKUP(C530,P:R,3,0)),"",VLOOKUP(C530,P:R,3,0))</f>
        <v/>
      </c>
      <c r="G530">
        <f>ROUND(IF(D530&gt;0,0,ABS(D530)),2)</f>
        <v>0</v>
      </c>
      <c r="H530">
        <f>ROUND(IF(D530&gt;0,D530,),2)</f>
        <v>0</v>
      </c>
      <c r="K530" s="7"/>
      <c r="L530" s="9"/>
      <c r="M530" s="9"/>
      <c r="N530" s="7"/>
      <c r="P530" s="18"/>
      <c r="Q530" s="2"/>
      <c r="R530" s="2"/>
      <c r="AF530" s="14"/>
    </row>
    <row r="531" spans="1:32" customFormat="1" x14ac:dyDescent="0.25">
      <c r="A531" s="9"/>
      <c r="C531" s="14"/>
      <c r="E531" t="str">
        <f>IF(ISNA(VLOOKUP(C531,P:Q,2,0)),"",VLOOKUP(C531,P:Q,2,0))</f>
        <v/>
      </c>
      <c r="F531" s="15" t="str">
        <f>IF(ISNA(VLOOKUP(C531,P:R,3,0)),"",VLOOKUP(C531,P:R,3,0))</f>
        <v/>
      </c>
      <c r="G531">
        <f>ROUND(IF(D531&gt;0,0,ABS(D531)),2)</f>
        <v>0</v>
      </c>
      <c r="H531">
        <f>ROUND(IF(D531&gt;0,D531,),2)</f>
        <v>0</v>
      </c>
      <c r="K531" s="7"/>
      <c r="L531" s="9"/>
      <c r="M531" s="9"/>
      <c r="N531" s="7"/>
      <c r="P531" s="18"/>
      <c r="Q531" s="2"/>
      <c r="R531" s="2"/>
      <c r="AF531" s="14"/>
    </row>
    <row r="532" spans="1:32" customFormat="1" x14ac:dyDescent="0.25">
      <c r="A532" s="9"/>
      <c r="C532" s="14"/>
      <c r="E532" t="str">
        <f>IF(ISNA(VLOOKUP(C532,P:Q,2,0)),"",VLOOKUP(C532,P:Q,2,0))</f>
        <v/>
      </c>
      <c r="F532" s="15" t="str">
        <f>IF(ISNA(VLOOKUP(C532,P:R,3,0)),"",VLOOKUP(C532,P:R,3,0))</f>
        <v/>
      </c>
      <c r="G532">
        <f>ROUND(IF(D532&gt;0,0,ABS(D532)),2)</f>
        <v>0</v>
      </c>
      <c r="H532">
        <f>ROUND(IF(D532&gt;0,D532,),2)</f>
        <v>0</v>
      </c>
      <c r="K532" s="7"/>
      <c r="L532" s="9"/>
      <c r="M532" s="9"/>
      <c r="N532" s="7"/>
      <c r="P532" s="18"/>
      <c r="Q532" s="2"/>
      <c r="R532" s="2"/>
      <c r="AF532" s="14"/>
    </row>
    <row r="533" spans="1:32" customFormat="1" x14ac:dyDescent="0.25">
      <c r="A533" s="9"/>
      <c r="C533" s="14"/>
      <c r="E533" t="str">
        <f>IF(ISNA(VLOOKUP(C533,P:Q,2,0)),"",VLOOKUP(C533,P:Q,2,0))</f>
        <v/>
      </c>
      <c r="F533" s="15" t="str">
        <f>IF(ISNA(VLOOKUP(C533,P:R,3,0)),"",VLOOKUP(C533,P:R,3,0))</f>
        <v/>
      </c>
      <c r="G533">
        <f>ROUND(IF(D533&gt;0,0,ABS(D533)),2)</f>
        <v>0</v>
      </c>
      <c r="H533">
        <f>ROUND(IF(D533&gt;0,D533,),2)</f>
        <v>0</v>
      </c>
      <c r="K533" s="7"/>
      <c r="L533" s="9"/>
      <c r="M533" s="9"/>
      <c r="N533" s="7"/>
      <c r="P533" s="18"/>
      <c r="Q533" s="2"/>
      <c r="R533" s="2"/>
      <c r="AF533" s="14"/>
    </row>
    <row r="534" spans="1:32" customFormat="1" x14ac:dyDescent="0.25">
      <c r="A534" s="9"/>
      <c r="C534" s="14"/>
      <c r="E534" t="str">
        <f>IF(ISNA(VLOOKUP(C534,P:Q,2,0)),"",VLOOKUP(C534,P:Q,2,0))</f>
        <v/>
      </c>
      <c r="F534" s="15" t="str">
        <f>IF(ISNA(VLOOKUP(C534,P:R,3,0)),"",VLOOKUP(C534,P:R,3,0))</f>
        <v/>
      </c>
      <c r="G534">
        <f>ROUND(IF(D534&gt;0,0,ABS(D534)),2)</f>
        <v>0</v>
      </c>
      <c r="H534">
        <f>ROUND(IF(D534&gt;0,D534,),2)</f>
        <v>0</v>
      </c>
      <c r="K534" s="7"/>
      <c r="L534" s="9"/>
      <c r="M534" s="9"/>
      <c r="N534" s="7"/>
      <c r="P534" s="18"/>
      <c r="Q534" s="2"/>
      <c r="R534" s="2"/>
      <c r="AF534" s="14"/>
    </row>
    <row r="535" spans="1:32" customFormat="1" x14ac:dyDescent="0.25">
      <c r="A535" s="9"/>
      <c r="C535" s="14"/>
      <c r="E535" t="str">
        <f>IF(ISNA(VLOOKUP(C535,P:Q,2,0)),"",VLOOKUP(C535,P:Q,2,0))</f>
        <v/>
      </c>
      <c r="F535" s="15" t="str">
        <f>IF(ISNA(VLOOKUP(C535,P:R,3,0)),"",VLOOKUP(C535,P:R,3,0))</f>
        <v/>
      </c>
      <c r="G535">
        <f>ROUND(IF(D535&gt;0,0,ABS(D535)),2)</f>
        <v>0</v>
      </c>
      <c r="H535">
        <f>ROUND(IF(D535&gt;0,D535,),2)</f>
        <v>0</v>
      </c>
      <c r="K535" s="7"/>
      <c r="L535" s="9"/>
      <c r="M535" s="9"/>
      <c r="N535" s="7"/>
      <c r="P535" s="18"/>
      <c r="Q535" s="2"/>
      <c r="R535" s="2"/>
      <c r="AF535" s="14"/>
    </row>
    <row r="536" spans="1:32" customFormat="1" x14ac:dyDescent="0.25">
      <c r="A536" s="9"/>
      <c r="C536" s="14"/>
      <c r="E536" t="str">
        <f>IF(ISNA(VLOOKUP(C536,P:Q,2,0)),"",VLOOKUP(C536,P:Q,2,0))</f>
        <v/>
      </c>
      <c r="F536" s="15" t="str">
        <f>IF(ISNA(VLOOKUP(C536,P:R,3,0)),"",VLOOKUP(C536,P:R,3,0))</f>
        <v/>
      </c>
      <c r="G536">
        <f>ROUND(IF(D536&gt;0,0,ABS(D536)),2)</f>
        <v>0</v>
      </c>
      <c r="H536">
        <f>ROUND(IF(D536&gt;0,D536,),2)</f>
        <v>0</v>
      </c>
      <c r="K536" s="7"/>
      <c r="L536" s="9"/>
      <c r="M536" s="9"/>
      <c r="N536" s="7"/>
      <c r="P536" s="18"/>
      <c r="Q536" s="2"/>
      <c r="R536" s="2"/>
      <c r="AF536" s="14"/>
    </row>
    <row r="537" spans="1:32" customFormat="1" x14ac:dyDescent="0.25">
      <c r="A537" s="9"/>
      <c r="C537" s="14"/>
      <c r="E537" t="str">
        <f>IF(ISNA(VLOOKUP(C537,P:Q,2,0)),"",VLOOKUP(C537,P:Q,2,0))</f>
        <v/>
      </c>
      <c r="F537" s="15" t="str">
        <f>IF(ISNA(VLOOKUP(C537,P:R,3,0)),"",VLOOKUP(C537,P:R,3,0))</f>
        <v/>
      </c>
      <c r="G537">
        <f>ROUND(IF(D537&gt;0,0,ABS(D537)),2)</f>
        <v>0</v>
      </c>
      <c r="H537">
        <f>ROUND(IF(D537&gt;0,D537,),2)</f>
        <v>0</v>
      </c>
      <c r="K537" s="7"/>
      <c r="L537" s="9"/>
      <c r="M537" s="9"/>
      <c r="N537" s="7"/>
      <c r="P537" s="18"/>
      <c r="Q537" s="2"/>
      <c r="R537" s="2"/>
      <c r="AF537" s="14"/>
    </row>
    <row r="538" spans="1:32" customFormat="1" x14ac:dyDescent="0.25">
      <c r="A538" s="9"/>
      <c r="C538" s="14"/>
      <c r="E538" t="str">
        <f>IF(ISNA(VLOOKUP(C538,P:Q,2,0)),"",VLOOKUP(C538,P:Q,2,0))</f>
        <v/>
      </c>
      <c r="F538" s="15" t="str">
        <f>IF(ISNA(VLOOKUP(C538,P:R,3,0)),"",VLOOKUP(C538,P:R,3,0))</f>
        <v/>
      </c>
      <c r="G538">
        <f>ROUND(IF(D538&gt;0,0,ABS(D538)),2)</f>
        <v>0</v>
      </c>
      <c r="H538">
        <f>ROUND(IF(D538&gt;0,D538,),2)</f>
        <v>0</v>
      </c>
      <c r="K538" s="7"/>
      <c r="L538" s="9"/>
      <c r="M538" s="9"/>
      <c r="N538" s="7"/>
      <c r="P538" s="18"/>
      <c r="Q538" s="2"/>
      <c r="R538" s="2"/>
      <c r="AF538" s="14"/>
    </row>
    <row r="539" spans="1:32" customFormat="1" x14ac:dyDescent="0.25">
      <c r="A539" s="9"/>
      <c r="C539" s="14"/>
      <c r="E539" t="str">
        <f>IF(ISNA(VLOOKUP(C539,P:Q,2,0)),"",VLOOKUP(C539,P:Q,2,0))</f>
        <v/>
      </c>
      <c r="F539" s="15" t="str">
        <f>IF(ISNA(VLOOKUP(C539,P:R,3,0)),"",VLOOKUP(C539,P:R,3,0))</f>
        <v/>
      </c>
      <c r="G539">
        <f>ROUND(IF(D539&gt;0,0,ABS(D539)),2)</f>
        <v>0</v>
      </c>
      <c r="H539">
        <f>ROUND(IF(D539&gt;0,D539,),2)</f>
        <v>0</v>
      </c>
      <c r="K539" s="7"/>
      <c r="L539" s="9"/>
      <c r="M539" s="9"/>
      <c r="N539" s="7"/>
      <c r="P539" s="18"/>
      <c r="Q539" s="2"/>
      <c r="R539" s="2"/>
      <c r="AF539" s="14"/>
    </row>
    <row r="540" spans="1:32" customFormat="1" x14ac:dyDescent="0.25">
      <c r="A540" s="9"/>
      <c r="C540" s="14"/>
      <c r="E540" t="str">
        <f>IF(ISNA(VLOOKUP(C540,P:Q,2,0)),"",VLOOKUP(C540,P:Q,2,0))</f>
        <v/>
      </c>
      <c r="F540" s="15" t="str">
        <f>IF(ISNA(VLOOKUP(C540,P:R,3,0)),"",VLOOKUP(C540,P:R,3,0))</f>
        <v/>
      </c>
      <c r="G540">
        <f>ROUND(IF(D540&gt;0,0,ABS(D540)),2)</f>
        <v>0</v>
      </c>
      <c r="H540">
        <f>ROUND(IF(D540&gt;0,D540,),2)</f>
        <v>0</v>
      </c>
      <c r="K540" s="7"/>
      <c r="L540" s="9"/>
      <c r="M540" s="9"/>
      <c r="N540" s="7"/>
      <c r="P540" s="18"/>
      <c r="Q540" s="2"/>
      <c r="R540" s="2"/>
      <c r="AF540" s="14"/>
    </row>
    <row r="541" spans="1:32" customFormat="1" x14ac:dyDescent="0.25">
      <c r="A541" s="9"/>
      <c r="C541" s="14"/>
      <c r="E541" t="str">
        <f>IF(ISNA(VLOOKUP(C541,P:Q,2,0)),"",VLOOKUP(C541,P:Q,2,0))</f>
        <v/>
      </c>
      <c r="F541" s="15" t="str">
        <f>IF(ISNA(VLOOKUP(C541,P:R,3,0)),"",VLOOKUP(C541,P:R,3,0))</f>
        <v/>
      </c>
      <c r="G541">
        <f>ROUND(IF(D541&gt;0,0,ABS(D541)),2)</f>
        <v>0</v>
      </c>
      <c r="H541">
        <f>ROUND(IF(D541&gt;0,D541,),2)</f>
        <v>0</v>
      </c>
      <c r="K541" s="7"/>
      <c r="L541" s="9"/>
      <c r="M541" s="9"/>
      <c r="N541" s="7"/>
      <c r="P541" s="18"/>
      <c r="Q541" s="2"/>
      <c r="R541" s="2"/>
      <c r="AF541" s="14"/>
    </row>
    <row r="542" spans="1:32" customFormat="1" x14ac:dyDescent="0.25">
      <c r="A542" s="9"/>
      <c r="C542" s="14"/>
      <c r="E542" t="str">
        <f>IF(ISNA(VLOOKUP(C542,P:Q,2,0)),"",VLOOKUP(C542,P:Q,2,0))</f>
        <v/>
      </c>
      <c r="F542" s="15" t="str">
        <f>IF(ISNA(VLOOKUP(C542,P:R,3,0)),"",VLOOKUP(C542,P:R,3,0))</f>
        <v/>
      </c>
      <c r="G542">
        <f>ROUND(IF(D542&gt;0,0,ABS(D542)),2)</f>
        <v>0</v>
      </c>
      <c r="H542">
        <f>ROUND(IF(D542&gt;0,D542,),2)</f>
        <v>0</v>
      </c>
      <c r="K542" s="7"/>
      <c r="L542" s="9"/>
      <c r="M542" s="9"/>
      <c r="N542" s="7"/>
      <c r="P542" s="18"/>
      <c r="Q542" s="2"/>
      <c r="R542" s="2"/>
      <c r="AF542" s="14"/>
    </row>
    <row r="543" spans="1:32" customFormat="1" x14ac:dyDescent="0.25">
      <c r="A543" s="9"/>
      <c r="C543" s="14"/>
      <c r="E543" t="str">
        <f>IF(ISNA(VLOOKUP(C543,P:Q,2,0)),"",VLOOKUP(C543,P:Q,2,0))</f>
        <v/>
      </c>
      <c r="F543" s="15" t="str">
        <f>IF(ISNA(VLOOKUP(C543,P:R,3,0)),"",VLOOKUP(C543,P:R,3,0))</f>
        <v/>
      </c>
      <c r="G543">
        <f>ROUND(IF(D543&gt;0,0,ABS(D543)),2)</f>
        <v>0</v>
      </c>
      <c r="H543">
        <f>ROUND(IF(D543&gt;0,D543,),2)</f>
        <v>0</v>
      </c>
      <c r="K543" s="7"/>
      <c r="L543" s="9"/>
      <c r="M543" s="9"/>
      <c r="N543" s="7"/>
      <c r="P543" s="18"/>
      <c r="Q543" s="2"/>
      <c r="R543" s="2"/>
      <c r="AF543" s="14"/>
    </row>
    <row r="544" spans="1:32" customFormat="1" x14ac:dyDescent="0.25">
      <c r="A544" s="9"/>
      <c r="C544" s="14"/>
      <c r="E544" t="str">
        <f>IF(ISNA(VLOOKUP(C544,P:Q,2,0)),"",VLOOKUP(C544,P:Q,2,0))</f>
        <v/>
      </c>
      <c r="F544" s="15" t="str">
        <f>IF(ISNA(VLOOKUP(C544,P:R,3,0)),"",VLOOKUP(C544,P:R,3,0))</f>
        <v/>
      </c>
      <c r="G544">
        <f>ROUND(IF(D544&gt;0,0,ABS(D544)),2)</f>
        <v>0</v>
      </c>
      <c r="H544">
        <f>ROUND(IF(D544&gt;0,D544,),2)</f>
        <v>0</v>
      </c>
      <c r="K544" s="7"/>
      <c r="L544" s="9"/>
      <c r="M544" s="9"/>
      <c r="N544" s="7"/>
      <c r="P544" s="18"/>
      <c r="Q544" s="2"/>
      <c r="R544" s="2"/>
      <c r="AF544" s="14"/>
    </row>
    <row r="545" spans="1:32" customFormat="1" x14ac:dyDescent="0.25">
      <c r="A545" s="9"/>
      <c r="C545" s="14"/>
      <c r="E545" t="str">
        <f>IF(ISNA(VLOOKUP(C545,P:Q,2,0)),"",VLOOKUP(C545,P:Q,2,0))</f>
        <v/>
      </c>
      <c r="F545" s="15" t="str">
        <f>IF(ISNA(VLOOKUP(C545,P:R,3,0)),"",VLOOKUP(C545,P:R,3,0))</f>
        <v/>
      </c>
      <c r="G545">
        <f>ROUND(IF(D545&gt;0,0,ABS(D545)),2)</f>
        <v>0</v>
      </c>
      <c r="H545">
        <f>ROUND(IF(D545&gt;0,D545,),2)</f>
        <v>0</v>
      </c>
      <c r="K545" s="7"/>
      <c r="L545" s="9"/>
      <c r="M545" s="9"/>
      <c r="N545" s="7"/>
      <c r="P545" s="18"/>
      <c r="Q545" s="2"/>
      <c r="R545" s="2"/>
      <c r="AF545" s="14"/>
    </row>
    <row r="546" spans="1:32" customFormat="1" x14ac:dyDescent="0.25">
      <c r="A546" s="9"/>
      <c r="C546" s="14"/>
      <c r="E546" t="str">
        <f>IF(ISNA(VLOOKUP(C546,P:Q,2,0)),"",VLOOKUP(C546,P:Q,2,0))</f>
        <v/>
      </c>
      <c r="F546" s="15" t="str">
        <f>IF(ISNA(VLOOKUP(C546,P:R,3,0)),"",VLOOKUP(C546,P:R,3,0))</f>
        <v/>
      </c>
      <c r="G546">
        <f>ROUND(IF(D546&gt;0,0,ABS(D546)),2)</f>
        <v>0</v>
      </c>
      <c r="H546">
        <f>ROUND(IF(D546&gt;0,D546,),2)</f>
        <v>0</v>
      </c>
      <c r="K546" s="7"/>
      <c r="L546" s="9"/>
      <c r="M546" s="9"/>
      <c r="N546" s="7"/>
      <c r="P546" s="18"/>
      <c r="Q546" s="2"/>
      <c r="R546" s="2"/>
      <c r="AF546" s="14"/>
    </row>
    <row r="547" spans="1:32" customFormat="1" x14ac:dyDescent="0.25">
      <c r="A547" s="9"/>
      <c r="C547" s="14"/>
      <c r="E547" t="str">
        <f>IF(ISNA(VLOOKUP(C547,P:Q,2,0)),"",VLOOKUP(C547,P:Q,2,0))</f>
        <v/>
      </c>
      <c r="F547" s="15" t="str">
        <f>IF(ISNA(VLOOKUP(C547,P:R,3,0)),"",VLOOKUP(C547,P:R,3,0))</f>
        <v/>
      </c>
      <c r="G547">
        <f>ROUND(IF(D547&gt;0,0,ABS(D547)),2)</f>
        <v>0</v>
      </c>
      <c r="H547">
        <f>ROUND(IF(D547&gt;0,D547,),2)</f>
        <v>0</v>
      </c>
      <c r="K547" s="7"/>
      <c r="L547" s="9"/>
      <c r="M547" s="9"/>
      <c r="N547" s="7"/>
      <c r="P547" s="18"/>
      <c r="Q547" s="2"/>
      <c r="R547" s="2"/>
      <c r="AF547" s="14"/>
    </row>
    <row r="548" spans="1:32" customFormat="1" x14ac:dyDescent="0.25">
      <c r="A548" s="9"/>
      <c r="C548" s="14"/>
      <c r="E548" t="str">
        <f>IF(ISNA(VLOOKUP(C548,P:Q,2,0)),"",VLOOKUP(C548,P:Q,2,0))</f>
        <v/>
      </c>
      <c r="F548" s="15" t="str">
        <f>IF(ISNA(VLOOKUP(C548,P:R,3,0)),"",VLOOKUP(C548,P:R,3,0))</f>
        <v/>
      </c>
      <c r="G548">
        <f>ROUND(IF(D548&gt;0,0,ABS(D548)),2)</f>
        <v>0</v>
      </c>
      <c r="H548">
        <f>ROUND(IF(D548&gt;0,D548,),2)</f>
        <v>0</v>
      </c>
      <c r="K548" s="7"/>
      <c r="L548" s="9"/>
      <c r="M548" s="9"/>
      <c r="N548" s="7"/>
      <c r="P548" s="18"/>
      <c r="Q548" s="2"/>
      <c r="R548" s="2"/>
      <c r="AF548" s="14"/>
    </row>
    <row r="549" spans="1:32" customFormat="1" x14ac:dyDescent="0.25">
      <c r="A549" s="9"/>
      <c r="C549" s="14"/>
      <c r="E549" t="str">
        <f>IF(ISNA(VLOOKUP(C549,P:Q,2,0)),"",VLOOKUP(C549,P:Q,2,0))</f>
        <v/>
      </c>
      <c r="F549" s="15" t="str">
        <f>IF(ISNA(VLOOKUP(C549,P:R,3,0)),"",VLOOKUP(C549,P:R,3,0))</f>
        <v/>
      </c>
      <c r="G549">
        <f>ROUND(IF(D549&gt;0,0,ABS(D549)),2)</f>
        <v>0</v>
      </c>
      <c r="H549">
        <f>ROUND(IF(D549&gt;0,D549,),2)</f>
        <v>0</v>
      </c>
      <c r="K549" s="7"/>
      <c r="L549" s="9"/>
      <c r="M549" s="9"/>
      <c r="N549" s="7"/>
      <c r="P549" s="18"/>
      <c r="Q549" s="2"/>
      <c r="R549" s="2"/>
      <c r="AF549" s="14"/>
    </row>
    <row r="550" spans="1:32" customFormat="1" x14ac:dyDescent="0.25">
      <c r="A550" s="9"/>
      <c r="C550" s="14"/>
      <c r="E550" t="str">
        <f>IF(ISNA(VLOOKUP(C550,P:Q,2,0)),"",VLOOKUP(C550,P:Q,2,0))</f>
        <v/>
      </c>
      <c r="F550" s="15" t="str">
        <f>IF(ISNA(VLOOKUP(C550,P:R,3,0)),"",VLOOKUP(C550,P:R,3,0))</f>
        <v/>
      </c>
      <c r="G550">
        <f>ROUND(IF(D550&gt;0,0,ABS(D550)),2)</f>
        <v>0</v>
      </c>
      <c r="H550">
        <f>ROUND(IF(D550&gt;0,D550,),2)</f>
        <v>0</v>
      </c>
      <c r="K550" s="7"/>
      <c r="L550" s="9"/>
      <c r="M550" s="9"/>
      <c r="N550" s="7"/>
      <c r="P550" s="18"/>
      <c r="Q550" s="2"/>
      <c r="R550" s="2"/>
      <c r="AF550" s="14"/>
    </row>
    <row r="551" spans="1:32" customFormat="1" x14ac:dyDescent="0.25">
      <c r="A551" s="9"/>
      <c r="C551" s="14"/>
      <c r="E551" t="str">
        <f>IF(ISNA(VLOOKUP(C551,P:Q,2,0)),"",VLOOKUP(C551,P:Q,2,0))</f>
        <v/>
      </c>
      <c r="F551" s="15" t="str">
        <f>IF(ISNA(VLOOKUP(C551,P:R,3,0)),"",VLOOKUP(C551,P:R,3,0))</f>
        <v/>
      </c>
      <c r="G551">
        <f>ROUND(IF(D551&gt;0,0,ABS(D551)),2)</f>
        <v>0</v>
      </c>
      <c r="H551">
        <f>ROUND(IF(D551&gt;0,D551,),2)</f>
        <v>0</v>
      </c>
      <c r="K551" s="7"/>
      <c r="L551" s="9"/>
      <c r="M551" s="9"/>
      <c r="N551" s="7"/>
      <c r="P551" s="18"/>
      <c r="Q551" s="2"/>
      <c r="R551" s="2"/>
      <c r="AF551" s="14"/>
    </row>
    <row r="552" spans="1:32" customFormat="1" x14ac:dyDescent="0.25">
      <c r="A552" s="9"/>
      <c r="C552" s="14"/>
      <c r="E552" t="str">
        <f>IF(ISNA(VLOOKUP(C552,P:Q,2,0)),"",VLOOKUP(C552,P:Q,2,0))</f>
        <v/>
      </c>
      <c r="F552" s="15" t="str">
        <f>IF(ISNA(VLOOKUP(C552,P:R,3,0)),"",VLOOKUP(C552,P:R,3,0))</f>
        <v/>
      </c>
      <c r="G552">
        <f>ROUND(IF(D552&gt;0,0,ABS(D552)),2)</f>
        <v>0</v>
      </c>
      <c r="H552">
        <f>ROUND(IF(D552&gt;0,D552,),2)</f>
        <v>0</v>
      </c>
      <c r="K552" s="7"/>
      <c r="L552" s="9"/>
      <c r="M552" s="9"/>
      <c r="N552" s="7"/>
      <c r="P552" s="18"/>
      <c r="Q552" s="2"/>
      <c r="R552" s="2"/>
      <c r="AF552" s="14"/>
    </row>
    <row r="553" spans="1:32" customFormat="1" x14ac:dyDescent="0.25">
      <c r="A553" s="9"/>
      <c r="C553" s="14"/>
      <c r="E553" t="str">
        <f>IF(ISNA(VLOOKUP(C553,P:Q,2,0)),"",VLOOKUP(C553,P:Q,2,0))</f>
        <v/>
      </c>
      <c r="F553" s="15" t="str">
        <f>IF(ISNA(VLOOKUP(C553,P:R,3,0)),"",VLOOKUP(C553,P:R,3,0))</f>
        <v/>
      </c>
      <c r="G553">
        <f>ROUND(IF(D553&gt;0,0,ABS(D553)),2)</f>
        <v>0</v>
      </c>
      <c r="H553">
        <f>ROUND(IF(D553&gt;0,D553,),2)</f>
        <v>0</v>
      </c>
      <c r="K553" s="7"/>
      <c r="L553" s="9"/>
      <c r="M553" s="9"/>
      <c r="N553" s="7"/>
      <c r="P553" s="18"/>
      <c r="Q553" s="2"/>
      <c r="R553" s="2"/>
      <c r="AF553" s="14"/>
    </row>
    <row r="554" spans="1:32" customFormat="1" x14ac:dyDescent="0.25">
      <c r="A554" s="9"/>
      <c r="C554" s="14"/>
      <c r="E554" t="str">
        <f>IF(ISNA(VLOOKUP(C554,P:Q,2,0)),"",VLOOKUP(C554,P:Q,2,0))</f>
        <v/>
      </c>
      <c r="F554" s="15" t="str">
        <f>IF(ISNA(VLOOKUP(C554,P:R,3,0)),"",VLOOKUP(C554,P:R,3,0))</f>
        <v/>
      </c>
      <c r="G554">
        <f>ROUND(IF(D554&gt;0,0,ABS(D554)),2)</f>
        <v>0</v>
      </c>
      <c r="H554">
        <f>ROUND(IF(D554&gt;0,D554,),2)</f>
        <v>0</v>
      </c>
      <c r="K554" s="7"/>
      <c r="L554" s="9"/>
      <c r="M554" s="9"/>
      <c r="N554" s="7"/>
      <c r="P554" s="18"/>
      <c r="Q554" s="2"/>
      <c r="R554" s="2"/>
      <c r="AF554" s="14"/>
    </row>
    <row r="555" spans="1:32" customFormat="1" x14ac:dyDescent="0.25">
      <c r="A555" s="9"/>
      <c r="C555" s="14"/>
      <c r="E555" t="str">
        <f>IF(ISNA(VLOOKUP(C555,P:Q,2,0)),"",VLOOKUP(C555,P:Q,2,0))</f>
        <v/>
      </c>
      <c r="F555" s="15" t="str">
        <f>IF(ISNA(VLOOKUP(C555,P:R,3,0)),"",VLOOKUP(C555,P:R,3,0))</f>
        <v/>
      </c>
      <c r="G555">
        <f>ROUND(IF(D555&gt;0,0,ABS(D555)),2)</f>
        <v>0</v>
      </c>
      <c r="H555">
        <f>ROUND(IF(D555&gt;0,D555,),2)</f>
        <v>0</v>
      </c>
      <c r="K555" s="7"/>
      <c r="L555" s="9"/>
      <c r="M555" s="9"/>
      <c r="N555" s="7"/>
      <c r="P555" s="18"/>
      <c r="Q555" s="2"/>
      <c r="R555" s="2"/>
      <c r="AF555" s="14"/>
    </row>
    <row r="556" spans="1:32" customFormat="1" x14ac:dyDescent="0.25">
      <c r="A556" s="9"/>
      <c r="C556" s="14"/>
      <c r="E556" t="str">
        <f>IF(ISNA(VLOOKUP(C556,P:Q,2,0)),"",VLOOKUP(C556,P:Q,2,0))</f>
        <v/>
      </c>
      <c r="F556" s="15" t="str">
        <f>IF(ISNA(VLOOKUP(C556,P:R,3,0)),"",VLOOKUP(C556,P:R,3,0))</f>
        <v/>
      </c>
      <c r="G556">
        <f>ROUND(IF(D556&gt;0,0,ABS(D556)),2)</f>
        <v>0</v>
      </c>
      <c r="H556">
        <f>ROUND(IF(D556&gt;0,D556,),2)</f>
        <v>0</v>
      </c>
      <c r="K556" s="7"/>
      <c r="L556" s="9"/>
      <c r="M556" s="9"/>
      <c r="N556" s="7"/>
      <c r="P556" s="18"/>
      <c r="Q556" s="2"/>
      <c r="R556" s="2"/>
      <c r="AF556" s="14"/>
    </row>
    <row r="557" spans="1:32" customFormat="1" x14ac:dyDescent="0.25">
      <c r="A557" s="9"/>
      <c r="C557" s="14"/>
      <c r="E557" t="str">
        <f>IF(ISNA(VLOOKUP(C557,P:Q,2,0)),"",VLOOKUP(C557,P:Q,2,0))</f>
        <v/>
      </c>
      <c r="F557" s="15" t="str">
        <f>IF(ISNA(VLOOKUP(C557,P:R,3,0)),"",VLOOKUP(C557,P:R,3,0))</f>
        <v/>
      </c>
      <c r="G557">
        <f>ROUND(IF(D557&gt;0,0,ABS(D557)),2)</f>
        <v>0</v>
      </c>
      <c r="H557">
        <f>ROUND(IF(D557&gt;0,D557,),2)</f>
        <v>0</v>
      </c>
      <c r="K557" s="7"/>
      <c r="L557" s="9"/>
      <c r="M557" s="9"/>
      <c r="N557" s="7"/>
      <c r="P557" s="18"/>
      <c r="Q557" s="2"/>
      <c r="R557" s="2"/>
      <c r="AF557" s="14"/>
    </row>
    <row r="558" spans="1:32" customFormat="1" x14ac:dyDescent="0.25">
      <c r="A558" s="9"/>
      <c r="C558" s="14"/>
      <c r="E558" t="str">
        <f>IF(ISNA(VLOOKUP(C558,P:Q,2,0)),"",VLOOKUP(C558,P:Q,2,0))</f>
        <v/>
      </c>
      <c r="F558" s="15" t="str">
        <f>IF(ISNA(VLOOKUP(C558,P:R,3,0)),"",VLOOKUP(C558,P:R,3,0))</f>
        <v/>
      </c>
      <c r="G558">
        <f>ROUND(IF(D558&gt;0,0,ABS(D558)),2)</f>
        <v>0</v>
      </c>
      <c r="H558">
        <f>ROUND(IF(D558&gt;0,D558,),2)</f>
        <v>0</v>
      </c>
      <c r="K558" s="7"/>
      <c r="L558" s="9"/>
      <c r="M558" s="9"/>
      <c r="N558" s="7"/>
      <c r="P558" s="18"/>
      <c r="Q558" s="2"/>
      <c r="R558" s="2"/>
      <c r="AF558" s="14"/>
    </row>
    <row r="559" spans="1:32" customFormat="1" x14ac:dyDescent="0.25">
      <c r="A559" s="9"/>
      <c r="C559" s="14"/>
      <c r="E559" t="str">
        <f>IF(ISNA(VLOOKUP(C559,P:Q,2,0)),"",VLOOKUP(C559,P:Q,2,0))</f>
        <v/>
      </c>
      <c r="F559" s="15" t="str">
        <f>IF(ISNA(VLOOKUP(C559,P:R,3,0)),"",VLOOKUP(C559,P:R,3,0))</f>
        <v/>
      </c>
      <c r="G559">
        <f>ROUND(IF(D559&gt;0,0,ABS(D559)),2)</f>
        <v>0</v>
      </c>
      <c r="H559">
        <f>ROUND(IF(D559&gt;0,D559,),2)</f>
        <v>0</v>
      </c>
      <c r="K559" s="7"/>
      <c r="L559" s="9"/>
      <c r="M559" s="9"/>
      <c r="N559" s="7"/>
      <c r="P559" s="18"/>
      <c r="Q559" s="2"/>
      <c r="R559" s="2"/>
      <c r="AF559" s="14"/>
    </row>
    <row r="560" spans="1:32" customFormat="1" x14ac:dyDescent="0.25">
      <c r="A560" s="9"/>
      <c r="C560" s="14"/>
      <c r="E560" t="str">
        <f>IF(ISNA(VLOOKUP(C560,P:Q,2,0)),"",VLOOKUP(C560,P:Q,2,0))</f>
        <v/>
      </c>
      <c r="F560" s="15" t="str">
        <f>IF(ISNA(VLOOKUP(C560,P:R,3,0)),"",VLOOKUP(C560,P:R,3,0))</f>
        <v/>
      </c>
      <c r="G560">
        <f>ROUND(IF(D560&gt;0,0,ABS(D560)),2)</f>
        <v>0</v>
      </c>
      <c r="H560">
        <f>ROUND(IF(D560&gt;0,D560,),2)</f>
        <v>0</v>
      </c>
      <c r="K560" s="7"/>
      <c r="L560" s="9"/>
      <c r="M560" s="9"/>
      <c r="N560" s="7"/>
      <c r="P560" s="18"/>
      <c r="Q560" s="2"/>
      <c r="R560" s="2"/>
      <c r="AF560" s="14"/>
    </row>
    <row r="561" spans="1:32" customFormat="1" x14ac:dyDescent="0.25">
      <c r="A561" s="9"/>
      <c r="C561" s="14"/>
      <c r="E561" t="str">
        <f>IF(ISNA(VLOOKUP(C561,P:Q,2,0)),"",VLOOKUP(C561,P:Q,2,0))</f>
        <v/>
      </c>
      <c r="F561" s="15" t="str">
        <f>IF(ISNA(VLOOKUP(C561,P:R,3,0)),"",VLOOKUP(C561,P:R,3,0))</f>
        <v/>
      </c>
      <c r="G561">
        <f>ROUND(IF(D561&gt;0,0,ABS(D561)),2)</f>
        <v>0</v>
      </c>
      <c r="H561">
        <f>ROUND(IF(D561&gt;0,D561,),2)</f>
        <v>0</v>
      </c>
      <c r="K561" s="7"/>
      <c r="L561" s="9"/>
      <c r="M561" s="9"/>
      <c r="N561" s="7"/>
      <c r="P561" s="18"/>
      <c r="Q561" s="2"/>
      <c r="R561" s="2"/>
      <c r="AF561" s="14"/>
    </row>
    <row r="562" spans="1:32" customFormat="1" x14ac:dyDescent="0.25">
      <c r="A562" s="9"/>
      <c r="C562" s="14"/>
      <c r="E562" t="str">
        <f>IF(ISNA(VLOOKUP(C562,P:Q,2,0)),"",VLOOKUP(C562,P:Q,2,0))</f>
        <v/>
      </c>
      <c r="F562" s="15" t="str">
        <f>IF(ISNA(VLOOKUP(C562,P:R,3,0)),"",VLOOKUP(C562,P:R,3,0))</f>
        <v/>
      </c>
      <c r="G562">
        <f>ROUND(IF(D562&gt;0,0,ABS(D562)),2)</f>
        <v>0</v>
      </c>
      <c r="H562">
        <f>ROUND(IF(D562&gt;0,D562,),2)</f>
        <v>0</v>
      </c>
      <c r="K562" s="7"/>
      <c r="L562" s="9"/>
      <c r="M562" s="9"/>
      <c r="N562" s="7"/>
      <c r="P562" s="18"/>
      <c r="Q562" s="2"/>
      <c r="R562" s="2"/>
      <c r="AF562" s="14"/>
    </row>
    <row r="563" spans="1:32" customFormat="1" x14ac:dyDescent="0.25">
      <c r="A563" s="9"/>
      <c r="C563" s="14"/>
      <c r="E563" t="str">
        <f>IF(ISNA(VLOOKUP(C563,P:Q,2,0)),"",VLOOKUP(C563,P:Q,2,0))</f>
        <v/>
      </c>
      <c r="F563" s="15" t="str">
        <f>IF(ISNA(VLOOKUP(C563,P:R,3,0)),"",VLOOKUP(C563,P:R,3,0))</f>
        <v/>
      </c>
      <c r="G563">
        <f>ROUND(IF(D563&gt;0,0,ABS(D563)),2)</f>
        <v>0</v>
      </c>
      <c r="H563">
        <f>ROUND(IF(D563&gt;0,D563,),2)</f>
        <v>0</v>
      </c>
      <c r="K563" s="7"/>
      <c r="L563" s="9"/>
      <c r="M563" s="9"/>
      <c r="N563" s="7"/>
      <c r="P563" s="18"/>
      <c r="Q563" s="2"/>
      <c r="R563" s="2"/>
      <c r="AF563" s="14"/>
    </row>
    <row r="564" spans="1:32" customFormat="1" x14ac:dyDescent="0.25">
      <c r="A564" s="9"/>
      <c r="C564" s="14"/>
      <c r="E564" t="str">
        <f>IF(ISNA(VLOOKUP(C564,P:Q,2,0)),"",VLOOKUP(C564,P:Q,2,0))</f>
        <v/>
      </c>
      <c r="F564" s="15" t="str">
        <f>IF(ISNA(VLOOKUP(C564,P:R,3,0)),"",VLOOKUP(C564,P:R,3,0))</f>
        <v/>
      </c>
      <c r="G564">
        <f>ROUND(IF(D564&gt;0,0,ABS(D564)),2)</f>
        <v>0</v>
      </c>
      <c r="H564">
        <f>ROUND(IF(D564&gt;0,D564,),2)</f>
        <v>0</v>
      </c>
      <c r="K564" s="7"/>
      <c r="L564" s="9"/>
      <c r="M564" s="9"/>
      <c r="N564" s="7"/>
      <c r="P564" s="18"/>
      <c r="Q564" s="2"/>
      <c r="R564" s="2"/>
      <c r="AF564" s="14"/>
    </row>
    <row r="565" spans="1:32" customFormat="1" x14ac:dyDescent="0.25">
      <c r="A565" s="9"/>
      <c r="C565" s="14"/>
      <c r="E565" t="str">
        <f>IF(ISNA(VLOOKUP(C565,P:Q,2,0)),"",VLOOKUP(C565,P:Q,2,0))</f>
        <v/>
      </c>
      <c r="F565" s="15" t="str">
        <f>IF(ISNA(VLOOKUP(C565,P:R,3,0)),"",VLOOKUP(C565,P:R,3,0))</f>
        <v/>
      </c>
      <c r="G565">
        <f>ROUND(IF(D565&gt;0,0,ABS(D565)),2)</f>
        <v>0</v>
      </c>
      <c r="H565">
        <f>ROUND(IF(D565&gt;0,D565,),2)</f>
        <v>0</v>
      </c>
      <c r="K565" s="7"/>
      <c r="L565" s="9"/>
      <c r="M565" s="9"/>
      <c r="N565" s="7"/>
      <c r="P565" s="18"/>
      <c r="Q565" s="2"/>
      <c r="R565" s="2"/>
      <c r="AF565" s="14"/>
    </row>
    <row r="566" spans="1:32" customFormat="1" x14ac:dyDescent="0.25">
      <c r="A566" s="9"/>
      <c r="C566" s="14"/>
      <c r="E566" t="str">
        <f>IF(ISNA(VLOOKUP(C566,P:Q,2,0)),"",VLOOKUP(C566,P:Q,2,0))</f>
        <v/>
      </c>
      <c r="F566" s="15" t="str">
        <f>IF(ISNA(VLOOKUP(C566,P:R,3,0)),"",VLOOKUP(C566,P:R,3,0))</f>
        <v/>
      </c>
      <c r="G566">
        <f>ROUND(IF(D566&gt;0,0,ABS(D566)),2)</f>
        <v>0</v>
      </c>
      <c r="H566">
        <f>ROUND(IF(D566&gt;0,D566,),2)</f>
        <v>0</v>
      </c>
      <c r="K566" s="7"/>
      <c r="L566" s="9"/>
      <c r="M566" s="9"/>
      <c r="N566" s="7"/>
      <c r="P566" s="18"/>
      <c r="Q566" s="2"/>
      <c r="R566" s="2"/>
      <c r="AF566" s="14"/>
    </row>
    <row r="567" spans="1:32" customFormat="1" x14ac:dyDescent="0.25">
      <c r="A567" s="9"/>
      <c r="C567" s="14"/>
      <c r="E567" t="str">
        <f>IF(ISNA(VLOOKUP(C567,P:Q,2,0)),"",VLOOKUP(C567,P:Q,2,0))</f>
        <v/>
      </c>
      <c r="F567" s="15" t="str">
        <f>IF(ISNA(VLOOKUP(C567,P:R,3,0)),"",VLOOKUP(C567,P:R,3,0))</f>
        <v/>
      </c>
      <c r="G567">
        <f>ROUND(IF(D567&gt;0,0,ABS(D567)),2)</f>
        <v>0</v>
      </c>
      <c r="H567">
        <f>ROUND(IF(D567&gt;0,D567,),2)</f>
        <v>0</v>
      </c>
      <c r="K567" s="7"/>
      <c r="L567" s="9"/>
      <c r="M567" s="9"/>
      <c r="N567" s="7"/>
      <c r="P567" s="18"/>
      <c r="Q567" s="2"/>
      <c r="R567" s="2"/>
      <c r="AF567" s="14"/>
    </row>
    <row r="568" spans="1:32" customFormat="1" x14ac:dyDescent="0.25">
      <c r="A568" s="9"/>
      <c r="C568" s="14"/>
      <c r="E568" t="str">
        <f>IF(ISNA(VLOOKUP(C568,P:Q,2,0)),"",VLOOKUP(C568,P:Q,2,0))</f>
        <v/>
      </c>
      <c r="F568" s="15" t="str">
        <f>IF(ISNA(VLOOKUP(C568,P:R,3,0)),"",VLOOKUP(C568,P:R,3,0))</f>
        <v/>
      </c>
      <c r="G568">
        <f>ROUND(IF(D568&gt;0,0,ABS(D568)),2)</f>
        <v>0</v>
      </c>
      <c r="H568">
        <f>ROUND(IF(D568&gt;0,D568,),2)</f>
        <v>0</v>
      </c>
      <c r="K568" s="7"/>
      <c r="L568" s="9"/>
      <c r="M568" s="9"/>
      <c r="N568" s="7"/>
      <c r="P568" s="18"/>
      <c r="Q568" s="2"/>
      <c r="R568" s="2"/>
      <c r="AF568" s="14"/>
    </row>
    <row r="569" spans="1:32" customFormat="1" x14ac:dyDescent="0.25">
      <c r="A569" s="9"/>
      <c r="C569" s="14"/>
      <c r="E569" t="str">
        <f>IF(ISNA(VLOOKUP(C569,P:Q,2,0)),"",VLOOKUP(C569,P:Q,2,0))</f>
        <v/>
      </c>
      <c r="F569" s="15" t="str">
        <f>IF(ISNA(VLOOKUP(C569,P:R,3,0)),"",VLOOKUP(C569,P:R,3,0))</f>
        <v/>
      </c>
      <c r="G569">
        <f>ROUND(IF(D569&gt;0,0,ABS(D569)),2)</f>
        <v>0</v>
      </c>
      <c r="H569">
        <f>ROUND(IF(D569&gt;0,D569,),2)</f>
        <v>0</v>
      </c>
      <c r="K569" s="7"/>
      <c r="L569" s="9"/>
      <c r="M569" s="9"/>
      <c r="N569" s="7"/>
      <c r="P569" s="18"/>
      <c r="Q569" s="2"/>
      <c r="R569" s="2"/>
      <c r="AF569" s="14"/>
    </row>
    <row r="570" spans="1:32" customFormat="1" x14ac:dyDescent="0.25">
      <c r="A570" s="9"/>
      <c r="C570" s="14"/>
      <c r="E570" t="str">
        <f>IF(ISNA(VLOOKUP(C570,P:Q,2,0)),"",VLOOKUP(C570,P:Q,2,0))</f>
        <v/>
      </c>
      <c r="F570" s="15" t="str">
        <f>IF(ISNA(VLOOKUP(C570,P:R,3,0)),"",VLOOKUP(C570,P:R,3,0))</f>
        <v/>
      </c>
      <c r="G570">
        <f>ROUND(IF(D570&gt;0,0,ABS(D570)),2)</f>
        <v>0</v>
      </c>
      <c r="H570">
        <f>ROUND(IF(D570&gt;0,D570,),2)</f>
        <v>0</v>
      </c>
      <c r="K570" s="7"/>
      <c r="L570" s="9"/>
      <c r="M570" s="9"/>
      <c r="N570" s="7"/>
      <c r="P570" s="18"/>
      <c r="Q570" s="2"/>
      <c r="R570" s="2"/>
      <c r="AF570" s="14"/>
    </row>
    <row r="571" spans="1:32" customFormat="1" x14ac:dyDescent="0.25">
      <c r="A571" s="9"/>
      <c r="C571" s="14"/>
      <c r="E571" t="str">
        <f>IF(ISNA(VLOOKUP(C571,P:Q,2,0)),"",VLOOKUP(C571,P:Q,2,0))</f>
        <v/>
      </c>
      <c r="F571" s="15" t="str">
        <f>IF(ISNA(VLOOKUP(C571,P:R,3,0)),"",VLOOKUP(C571,P:R,3,0))</f>
        <v/>
      </c>
      <c r="G571">
        <f>ROUND(IF(D571&gt;0,0,ABS(D571)),2)</f>
        <v>0</v>
      </c>
      <c r="H571">
        <f>ROUND(IF(D571&gt;0,D571,),2)</f>
        <v>0</v>
      </c>
      <c r="K571" s="7"/>
      <c r="L571" s="9"/>
      <c r="M571" s="9"/>
      <c r="N571" s="7"/>
      <c r="P571" s="18"/>
      <c r="Q571" s="2"/>
      <c r="R571" s="2"/>
      <c r="AF571" s="14"/>
    </row>
    <row r="572" spans="1:32" customFormat="1" x14ac:dyDescent="0.25">
      <c r="A572" s="9"/>
      <c r="C572" s="14"/>
      <c r="E572" t="str">
        <f>IF(ISNA(VLOOKUP(C572,P:Q,2,0)),"",VLOOKUP(C572,P:Q,2,0))</f>
        <v/>
      </c>
      <c r="F572" s="15" t="str">
        <f>IF(ISNA(VLOOKUP(C572,P:R,3,0)),"",VLOOKUP(C572,P:R,3,0))</f>
        <v/>
      </c>
      <c r="G572">
        <f>ROUND(IF(D572&gt;0,0,ABS(D572)),2)</f>
        <v>0</v>
      </c>
      <c r="H572">
        <f>ROUND(IF(D572&gt;0,D572,),2)</f>
        <v>0</v>
      </c>
      <c r="K572" s="7"/>
      <c r="L572" s="9"/>
      <c r="M572" s="9"/>
      <c r="N572" s="7"/>
      <c r="P572" s="18"/>
      <c r="Q572" s="2"/>
      <c r="R572" s="2"/>
      <c r="AF572" s="14"/>
    </row>
    <row r="573" spans="1:32" customFormat="1" x14ac:dyDescent="0.25">
      <c r="A573" s="9"/>
      <c r="C573" s="14"/>
      <c r="E573" t="str">
        <f>IF(ISNA(VLOOKUP(C573,P:Q,2,0)),"",VLOOKUP(C573,P:Q,2,0))</f>
        <v/>
      </c>
      <c r="F573" s="15" t="str">
        <f>IF(ISNA(VLOOKUP(C573,P:R,3,0)),"",VLOOKUP(C573,P:R,3,0))</f>
        <v/>
      </c>
      <c r="G573">
        <f>ROUND(IF(D573&gt;0,0,ABS(D573)),2)</f>
        <v>0</v>
      </c>
      <c r="H573">
        <f>ROUND(IF(D573&gt;0,D573,),2)</f>
        <v>0</v>
      </c>
      <c r="K573" s="7"/>
      <c r="L573" s="9"/>
      <c r="M573" s="9"/>
      <c r="N573" s="7"/>
      <c r="P573" s="18"/>
      <c r="Q573" s="2"/>
      <c r="R573" s="2"/>
      <c r="AF573" s="14"/>
    </row>
    <row r="574" spans="1:32" customFormat="1" x14ac:dyDescent="0.25">
      <c r="A574" s="9"/>
      <c r="C574" s="14"/>
      <c r="E574" t="str">
        <f>IF(ISNA(VLOOKUP(C574,P:Q,2,0)),"",VLOOKUP(C574,P:Q,2,0))</f>
        <v/>
      </c>
      <c r="F574" s="15" t="str">
        <f>IF(ISNA(VLOOKUP(C574,P:R,3,0)),"",VLOOKUP(C574,P:R,3,0))</f>
        <v/>
      </c>
      <c r="G574">
        <f>ROUND(IF(D574&gt;0,0,ABS(D574)),2)</f>
        <v>0</v>
      </c>
      <c r="H574">
        <f>ROUND(IF(D574&gt;0,D574,),2)</f>
        <v>0</v>
      </c>
      <c r="K574" s="7"/>
      <c r="L574" s="9"/>
      <c r="M574" s="9"/>
      <c r="N574" s="7"/>
      <c r="P574" s="18"/>
      <c r="Q574" s="2"/>
      <c r="R574" s="2"/>
      <c r="AF574" s="14"/>
    </row>
    <row r="575" spans="1:32" customFormat="1" x14ac:dyDescent="0.25">
      <c r="A575" s="9"/>
      <c r="C575" s="14"/>
      <c r="E575" t="str">
        <f>IF(ISNA(VLOOKUP(C575,P:Q,2,0)),"",VLOOKUP(C575,P:Q,2,0))</f>
        <v/>
      </c>
      <c r="F575" s="15" t="str">
        <f>IF(ISNA(VLOOKUP(C575,P:R,3,0)),"",VLOOKUP(C575,P:R,3,0))</f>
        <v/>
      </c>
      <c r="G575">
        <f>ROUND(IF(D575&gt;0,0,ABS(D575)),2)</f>
        <v>0</v>
      </c>
      <c r="H575">
        <f>ROUND(IF(D575&gt;0,D575,),2)</f>
        <v>0</v>
      </c>
      <c r="K575" s="7"/>
      <c r="L575" s="9"/>
      <c r="M575" s="9"/>
      <c r="N575" s="7"/>
      <c r="P575" s="18"/>
      <c r="Q575" s="2"/>
      <c r="R575" s="2"/>
      <c r="AF575" s="14"/>
    </row>
    <row r="576" spans="1:32" customFormat="1" x14ac:dyDescent="0.25">
      <c r="A576" s="9"/>
      <c r="C576" s="14"/>
      <c r="E576" t="str">
        <f>IF(ISNA(VLOOKUP(C576,P:Q,2,0)),"",VLOOKUP(C576,P:Q,2,0))</f>
        <v/>
      </c>
      <c r="F576" s="15" t="str">
        <f>IF(ISNA(VLOOKUP(C576,P:R,3,0)),"",VLOOKUP(C576,P:R,3,0))</f>
        <v/>
      </c>
      <c r="G576">
        <f>ROUND(IF(D576&gt;0,0,ABS(D576)),2)</f>
        <v>0</v>
      </c>
      <c r="H576">
        <f>ROUND(IF(D576&gt;0,D576,),2)</f>
        <v>0</v>
      </c>
      <c r="K576" s="7"/>
      <c r="L576" s="9"/>
      <c r="M576" s="9"/>
      <c r="N576" s="7"/>
      <c r="P576" s="18"/>
      <c r="Q576" s="2"/>
      <c r="R576" s="2"/>
      <c r="AF576" s="14"/>
    </row>
    <row r="577" spans="1:32" customFormat="1" x14ac:dyDescent="0.25">
      <c r="A577" s="9"/>
      <c r="C577" s="14"/>
      <c r="E577" t="str">
        <f>IF(ISNA(VLOOKUP(C577,P:Q,2,0)),"",VLOOKUP(C577,P:Q,2,0))</f>
        <v/>
      </c>
      <c r="F577" s="15" t="str">
        <f>IF(ISNA(VLOOKUP(C577,P:R,3,0)),"",VLOOKUP(C577,P:R,3,0))</f>
        <v/>
      </c>
      <c r="G577">
        <f>ROUND(IF(D577&gt;0,0,ABS(D577)),2)</f>
        <v>0</v>
      </c>
      <c r="H577">
        <f>ROUND(IF(D577&gt;0,D577,),2)</f>
        <v>0</v>
      </c>
      <c r="K577" s="7"/>
      <c r="L577" s="9"/>
      <c r="M577" s="9"/>
      <c r="N577" s="7"/>
      <c r="P577" s="18"/>
      <c r="Q577" s="2"/>
      <c r="R577" s="2"/>
      <c r="AF577" s="14"/>
    </row>
    <row r="578" spans="1:32" customFormat="1" x14ac:dyDescent="0.25">
      <c r="A578" s="9"/>
      <c r="C578" s="14"/>
      <c r="E578" t="str">
        <f>IF(ISNA(VLOOKUP(C578,P:Q,2,0)),"",VLOOKUP(C578,P:Q,2,0))</f>
        <v/>
      </c>
      <c r="F578" s="15" t="str">
        <f>IF(ISNA(VLOOKUP(C578,P:R,3,0)),"",VLOOKUP(C578,P:R,3,0))</f>
        <v/>
      </c>
      <c r="G578">
        <f>ROUND(IF(D578&gt;0,0,ABS(D578)),2)</f>
        <v>0</v>
      </c>
      <c r="H578">
        <f>ROUND(IF(D578&gt;0,D578,),2)</f>
        <v>0</v>
      </c>
      <c r="K578" s="7"/>
      <c r="L578" s="9"/>
      <c r="M578" s="9"/>
      <c r="N578" s="7"/>
      <c r="P578" s="18"/>
      <c r="Q578" s="2"/>
      <c r="R578" s="2"/>
      <c r="AF578" s="14"/>
    </row>
    <row r="579" spans="1:32" customFormat="1" x14ac:dyDescent="0.25">
      <c r="A579" s="9"/>
      <c r="C579" s="14"/>
      <c r="E579" t="str">
        <f>IF(ISNA(VLOOKUP(C579,P:Q,2,0)),"",VLOOKUP(C579,P:Q,2,0))</f>
        <v/>
      </c>
      <c r="F579" s="15" t="str">
        <f>IF(ISNA(VLOOKUP(C579,P:R,3,0)),"",VLOOKUP(C579,P:R,3,0))</f>
        <v/>
      </c>
      <c r="G579">
        <f>ROUND(IF(D579&gt;0,0,ABS(D579)),2)</f>
        <v>0</v>
      </c>
      <c r="H579">
        <f>ROUND(IF(D579&gt;0,D579,),2)</f>
        <v>0</v>
      </c>
      <c r="K579" s="7"/>
      <c r="L579" s="9"/>
      <c r="M579" s="9"/>
      <c r="N579" s="7"/>
      <c r="P579" s="18"/>
      <c r="Q579" s="2"/>
      <c r="R579" s="2"/>
      <c r="AF579" s="14"/>
    </row>
    <row r="580" spans="1:32" customFormat="1" x14ac:dyDescent="0.25">
      <c r="A580" s="9"/>
      <c r="C580" s="14"/>
      <c r="E580" t="str">
        <f>IF(ISNA(VLOOKUP(C580,P:Q,2,0)),"",VLOOKUP(C580,P:Q,2,0))</f>
        <v/>
      </c>
      <c r="F580" s="15" t="str">
        <f>IF(ISNA(VLOOKUP(C580,P:R,3,0)),"",VLOOKUP(C580,P:R,3,0))</f>
        <v/>
      </c>
      <c r="G580">
        <f>ROUND(IF(D580&gt;0,0,ABS(D580)),2)</f>
        <v>0</v>
      </c>
      <c r="H580">
        <f>ROUND(IF(D580&gt;0,D580,),2)</f>
        <v>0</v>
      </c>
      <c r="K580" s="7"/>
      <c r="L580" s="9"/>
      <c r="M580" s="9"/>
      <c r="N580" s="7"/>
      <c r="P580" s="18"/>
      <c r="Q580" s="2"/>
      <c r="R580" s="2"/>
      <c r="AF580" s="14"/>
    </row>
    <row r="581" spans="1:32" customFormat="1" x14ac:dyDescent="0.25">
      <c r="A581" s="9"/>
      <c r="C581" s="14"/>
      <c r="E581" t="str">
        <f>IF(ISNA(VLOOKUP(C581,P:Q,2,0)),"",VLOOKUP(C581,P:Q,2,0))</f>
        <v/>
      </c>
      <c r="F581" s="15" t="str">
        <f>IF(ISNA(VLOOKUP(C581,P:R,3,0)),"",VLOOKUP(C581,P:R,3,0))</f>
        <v/>
      </c>
      <c r="G581">
        <f>ROUND(IF(D581&gt;0,0,ABS(D581)),2)</f>
        <v>0</v>
      </c>
      <c r="H581">
        <f>ROUND(IF(D581&gt;0,D581,),2)</f>
        <v>0</v>
      </c>
      <c r="K581" s="7"/>
      <c r="L581" s="9"/>
      <c r="M581" s="9"/>
      <c r="N581" s="7"/>
      <c r="P581" s="18"/>
      <c r="Q581" s="2"/>
      <c r="R581" s="2"/>
      <c r="AF581" s="14"/>
    </row>
    <row r="582" spans="1:32" customFormat="1" x14ac:dyDescent="0.25">
      <c r="A582" s="9"/>
      <c r="C582" s="14"/>
      <c r="E582" t="str">
        <f>IF(ISNA(VLOOKUP(C582,P:Q,2,0)),"",VLOOKUP(C582,P:Q,2,0))</f>
        <v/>
      </c>
      <c r="F582" s="15" t="str">
        <f>IF(ISNA(VLOOKUP(C582,P:R,3,0)),"",VLOOKUP(C582,P:R,3,0))</f>
        <v/>
      </c>
      <c r="G582">
        <f>ROUND(IF(D582&gt;0,0,ABS(D582)),2)</f>
        <v>0</v>
      </c>
      <c r="H582">
        <f>ROUND(IF(D582&gt;0,D582,),2)</f>
        <v>0</v>
      </c>
      <c r="K582" s="7"/>
      <c r="L582" s="9"/>
      <c r="M582" s="9"/>
      <c r="N582" s="7"/>
      <c r="P582" s="18"/>
      <c r="Q582" s="2"/>
      <c r="R582" s="2"/>
      <c r="AF582" s="14"/>
    </row>
    <row r="583" spans="1:32" customFormat="1" x14ac:dyDescent="0.25">
      <c r="A583" s="9"/>
      <c r="C583" s="14"/>
      <c r="E583" t="str">
        <f>IF(ISNA(VLOOKUP(C583,P:Q,2,0)),"",VLOOKUP(C583,P:Q,2,0))</f>
        <v/>
      </c>
      <c r="F583" s="15" t="str">
        <f>IF(ISNA(VLOOKUP(C583,P:R,3,0)),"",VLOOKUP(C583,P:R,3,0))</f>
        <v/>
      </c>
      <c r="G583">
        <f>ROUND(IF(D583&gt;0,0,ABS(D583)),2)</f>
        <v>0</v>
      </c>
      <c r="H583">
        <f>ROUND(IF(D583&gt;0,D583,),2)</f>
        <v>0</v>
      </c>
      <c r="K583" s="7"/>
      <c r="L583" s="9"/>
      <c r="M583" s="9"/>
      <c r="N583" s="7"/>
      <c r="P583" s="18"/>
      <c r="Q583" s="2"/>
      <c r="R583" s="2"/>
      <c r="AF583" s="14"/>
    </row>
    <row r="584" spans="1:32" customFormat="1" x14ac:dyDescent="0.25">
      <c r="A584" s="9"/>
      <c r="C584" s="14"/>
      <c r="E584" t="str">
        <f>IF(ISNA(VLOOKUP(C584,P:Q,2,0)),"",VLOOKUP(C584,P:Q,2,0))</f>
        <v/>
      </c>
      <c r="F584" s="15" t="str">
        <f>IF(ISNA(VLOOKUP(C584,P:R,3,0)),"",VLOOKUP(C584,P:R,3,0))</f>
        <v/>
      </c>
      <c r="G584">
        <f>ROUND(IF(D584&gt;0,0,ABS(D584)),2)</f>
        <v>0</v>
      </c>
      <c r="H584">
        <f>ROUND(IF(D584&gt;0,D584,),2)</f>
        <v>0</v>
      </c>
      <c r="K584" s="7"/>
      <c r="L584" s="9"/>
      <c r="M584" s="9"/>
      <c r="N584" s="7"/>
      <c r="P584" s="18"/>
      <c r="Q584" s="2"/>
      <c r="R584" s="2"/>
      <c r="AF584" s="14"/>
    </row>
    <row r="585" spans="1:32" customFormat="1" x14ac:dyDescent="0.25">
      <c r="A585" s="9"/>
      <c r="C585" s="14"/>
      <c r="E585" t="str">
        <f>IF(ISNA(VLOOKUP(C585,P:Q,2,0)),"",VLOOKUP(C585,P:Q,2,0))</f>
        <v/>
      </c>
      <c r="F585" s="15" t="str">
        <f>IF(ISNA(VLOOKUP(C585,P:R,3,0)),"",VLOOKUP(C585,P:R,3,0))</f>
        <v/>
      </c>
      <c r="G585">
        <f>ROUND(IF(D585&gt;0,0,ABS(D585)),2)</f>
        <v>0</v>
      </c>
      <c r="H585">
        <f>ROUND(IF(D585&gt;0,D585,),2)</f>
        <v>0</v>
      </c>
      <c r="K585" s="7"/>
      <c r="L585" s="9"/>
      <c r="M585" s="9"/>
      <c r="N585" s="7"/>
      <c r="P585" s="18"/>
      <c r="Q585" s="2"/>
      <c r="R585" s="2"/>
      <c r="AF585" s="14"/>
    </row>
    <row r="586" spans="1:32" customFormat="1" x14ac:dyDescent="0.25">
      <c r="A586" s="9"/>
      <c r="C586" s="14"/>
      <c r="E586" t="str">
        <f>IF(ISNA(VLOOKUP(C586,P:Q,2,0)),"",VLOOKUP(C586,P:Q,2,0))</f>
        <v/>
      </c>
      <c r="F586" s="15" t="str">
        <f>IF(ISNA(VLOOKUP(C586,P:R,3,0)),"",VLOOKUP(C586,P:R,3,0))</f>
        <v/>
      </c>
      <c r="G586">
        <f>ROUND(IF(D586&gt;0,0,ABS(D586)),2)</f>
        <v>0</v>
      </c>
      <c r="H586">
        <f>ROUND(IF(D586&gt;0,D586,),2)</f>
        <v>0</v>
      </c>
      <c r="K586" s="7"/>
      <c r="L586" s="9"/>
      <c r="M586" s="9"/>
      <c r="N586" s="7"/>
      <c r="P586" s="18"/>
      <c r="Q586" s="2"/>
      <c r="R586" s="2"/>
      <c r="AF586" s="14"/>
    </row>
    <row r="587" spans="1:32" customFormat="1" x14ac:dyDescent="0.25">
      <c r="A587" s="9"/>
      <c r="C587" s="14"/>
      <c r="E587" t="str">
        <f>IF(ISNA(VLOOKUP(C587,P:Q,2,0)),"",VLOOKUP(C587,P:Q,2,0))</f>
        <v/>
      </c>
      <c r="F587" s="15" t="str">
        <f>IF(ISNA(VLOOKUP(C587,P:R,3,0)),"",VLOOKUP(C587,P:R,3,0))</f>
        <v/>
      </c>
      <c r="G587">
        <f>ROUND(IF(D587&gt;0,0,ABS(D587)),2)</f>
        <v>0</v>
      </c>
      <c r="H587">
        <f>ROUND(IF(D587&gt;0,D587,),2)</f>
        <v>0</v>
      </c>
      <c r="K587" s="7"/>
      <c r="L587" s="9"/>
      <c r="M587" s="9"/>
      <c r="N587" s="7"/>
      <c r="P587" s="18"/>
      <c r="Q587" s="2"/>
      <c r="R587" s="2"/>
      <c r="AF587" s="14"/>
    </row>
    <row r="588" spans="1:32" customFormat="1" x14ac:dyDescent="0.25">
      <c r="A588" s="9"/>
      <c r="C588" s="14"/>
      <c r="E588" t="str">
        <f>IF(ISNA(VLOOKUP(C588,P:Q,2,0)),"",VLOOKUP(C588,P:Q,2,0))</f>
        <v/>
      </c>
      <c r="F588" s="15" t="str">
        <f>IF(ISNA(VLOOKUP(C588,P:R,3,0)),"",VLOOKUP(C588,P:R,3,0))</f>
        <v/>
      </c>
      <c r="G588">
        <f>ROUND(IF(D588&gt;0,0,ABS(D588)),2)</f>
        <v>0</v>
      </c>
      <c r="H588">
        <f>ROUND(IF(D588&gt;0,D588,),2)</f>
        <v>0</v>
      </c>
      <c r="K588" s="7"/>
      <c r="L588" s="9"/>
      <c r="M588" s="9"/>
      <c r="N588" s="7"/>
      <c r="P588" s="18"/>
      <c r="Q588" s="2"/>
      <c r="R588" s="2"/>
      <c r="AF588" s="14"/>
    </row>
    <row r="589" spans="1:32" customFormat="1" x14ac:dyDescent="0.25">
      <c r="A589" s="9"/>
      <c r="C589" s="14"/>
      <c r="E589" t="str">
        <f>IF(ISNA(VLOOKUP(C589,P:Q,2,0)),"",VLOOKUP(C589,P:Q,2,0))</f>
        <v/>
      </c>
      <c r="F589" s="15" t="str">
        <f>IF(ISNA(VLOOKUP(C589,P:R,3,0)),"",VLOOKUP(C589,P:R,3,0))</f>
        <v/>
      </c>
      <c r="G589">
        <f>ROUND(IF(D589&gt;0,0,ABS(D589)),2)</f>
        <v>0</v>
      </c>
      <c r="H589">
        <f>ROUND(IF(D589&gt;0,D589,),2)</f>
        <v>0</v>
      </c>
      <c r="K589" s="7"/>
      <c r="L589" s="9"/>
      <c r="M589" s="9"/>
      <c r="N589" s="7"/>
      <c r="P589" s="18"/>
      <c r="Q589" s="2"/>
      <c r="R589" s="2"/>
      <c r="AF589" s="14"/>
    </row>
    <row r="590" spans="1:32" customFormat="1" x14ac:dyDescent="0.25">
      <c r="A590" s="9"/>
      <c r="C590" s="14"/>
      <c r="E590" t="str">
        <f>IF(ISNA(VLOOKUP(C590,P:Q,2,0)),"",VLOOKUP(C590,P:Q,2,0))</f>
        <v/>
      </c>
      <c r="F590" s="15" t="str">
        <f>IF(ISNA(VLOOKUP(C590,P:R,3,0)),"",VLOOKUP(C590,P:R,3,0))</f>
        <v/>
      </c>
      <c r="G590">
        <f>ROUND(IF(D590&gt;0,0,ABS(D590)),2)</f>
        <v>0</v>
      </c>
      <c r="H590">
        <f>ROUND(IF(D590&gt;0,D590,),2)</f>
        <v>0</v>
      </c>
      <c r="K590" s="7"/>
      <c r="L590" s="9"/>
      <c r="M590" s="9"/>
      <c r="N590" s="7"/>
      <c r="P590" s="18"/>
      <c r="Q590" s="2"/>
      <c r="R590" s="2"/>
      <c r="AF590" s="14"/>
    </row>
    <row r="591" spans="1:32" customFormat="1" x14ac:dyDescent="0.25">
      <c r="A591" s="9"/>
      <c r="C591" s="14"/>
      <c r="E591" t="str">
        <f>IF(ISNA(VLOOKUP(C591,P:Q,2,0)),"",VLOOKUP(C591,P:Q,2,0))</f>
        <v/>
      </c>
      <c r="F591" s="15" t="str">
        <f>IF(ISNA(VLOOKUP(C591,P:R,3,0)),"",VLOOKUP(C591,P:R,3,0))</f>
        <v/>
      </c>
      <c r="G591">
        <f>ROUND(IF(D591&gt;0,0,ABS(D591)),2)</f>
        <v>0</v>
      </c>
      <c r="H591">
        <f>ROUND(IF(D591&gt;0,D591,),2)</f>
        <v>0</v>
      </c>
      <c r="K591" s="7"/>
      <c r="L591" s="9"/>
      <c r="M591" s="9"/>
      <c r="N591" s="7"/>
      <c r="P591" s="18"/>
      <c r="Q591" s="2"/>
      <c r="R591" s="2"/>
      <c r="AF591" s="14"/>
    </row>
    <row r="592" spans="1:32" customFormat="1" x14ac:dyDescent="0.25">
      <c r="A592" s="9"/>
      <c r="C592" s="14"/>
      <c r="E592" t="str">
        <f>IF(ISNA(VLOOKUP(C592,P:Q,2,0)),"",VLOOKUP(C592,P:Q,2,0))</f>
        <v/>
      </c>
      <c r="F592" s="15" t="str">
        <f>IF(ISNA(VLOOKUP(C592,P:R,3,0)),"",VLOOKUP(C592,P:R,3,0))</f>
        <v/>
      </c>
      <c r="G592">
        <f>ROUND(IF(D592&gt;0,0,ABS(D592)),2)</f>
        <v>0</v>
      </c>
      <c r="H592">
        <f>ROUND(IF(D592&gt;0,D592,),2)</f>
        <v>0</v>
      </c>
      <c r="K592" s="7"/>
      <c r="L592" s="9"/>
      <c r="M592" s="9"/>
      <c r="N592" s="7"/>
      <c r="P592" s="18"/>
      <c r="Q592" s="2"/>
      <c r="R592" s="2"/>
      <c r="AF592" s="14"/>
    </row>
    <row r="593" spans="1:32" customFormat="1" x14ac:dyDescent="0.25">
      <c r="A593" s="9"/>
      <c r="C593" s="14"/>
      <c r="E593" t="str">
        <f>IF(ISNA(VLOOKUP(C593,P:Q,2,0)),"",VLOOKUP(C593,P:Q,2,0))</f>
        <v/>
      </c>
      <c r="F593" s="15" t="str">
        <f>IF(ISNA(VLOOKUP(C593,P:R,3,0)),"",VLOOKUP(C593,P:R,3,0))</f>
        <v/>
      </c>
      <c r="G593">
        <f>ROUND(IF(D593&gt;0,0,ABS(D593)),2)</f>
        <v>0</v>
      </c>
      <c r="H593">
        <f>ROUND(IF(D593&gt;0,D593,),2)</f>
        <v>0</v>
      </c>
      <c r="K593" s="7"/>
      <c r="L593" s="9"/>
      <c r="M593" s="9"/>
      <c r="N593" s="7"/>
      <c r="P593" s="18"/>
      <c r="Q593" s="2"/>
      <c r="R593" s="2"/>
      <c r="AF593" s="14"/>
    </row>
    <row r="594" spans="1:32" customFormat="1" x14ac:dyDescent="0.25">
      <c r="A594" s="9"/>
      <c r="C594" s="14"/>
      <c r="E594" t="str">
        <f>IF(ISNA(VLOOKUP(C594,P:Q,2,0)),"",VLOOKUP(C594,P:Q,2,0))</f>
        <v/>
      </c>
      <c r="F594" s="15" t="str">
        <f>IF(ISNA(VLOOKUP(C594,P:R,3,0)),"",VLOOKUP(C594,P:R,3,0))</f>
        <v/>
      </c>
      <c r="G594">
        <f>ROUND(IF(D594&gt;0,0,ABS(D594)),2)</f>
        <v>0</v>
      </c>
      <c r="H594">
        <f>ROUND(IF(D594&gt;0,D594,),2)</f>
        <v>0</v>
      </c>
      <c r="K594" s="7"/>
      <c r="L594" s="9"/>
      <c r="M594" s="9"/>
      <c r="N594" s="7"/>
      <c r="P594" s="18"/>
      <c r="Q594" s="2"/>
      <c r="R594" s="2"/>
      <c r="AF594" s="14"/>
    </row>
    <row r="595" spans="1:32" customFormat="1" x14ac:dyDescent="0.25">
      <c r="A595" s="9"/>
      <c r="C595" s="14"/>
      <c r="E595" t="str">
        <f>IF(ISNA(VLOOKUP(C595,P:Q,2,0)),"",VLOOKUP(C595,P:Q,2,0))</f>
        <v/>
      </c>
      <c r="F595" s="15" t="str">
        <f>IF(ISNA(VLOOKUP(C595,P:R,3,0)),"",VLOOKUP(C595,P:R,3,0))</f>
        <v/>
      </c>
      <c r="G595">
        <f>ROUND(IF(D595&gt;0,0,ABS(D595)),2)</f>
        <v>0</v>
      </c>
      <c r="H595">
        <f>ROUND(IF(D595&gt;0,D595,),2)</f>
        <v>0</v>
      </c>
      <c r="K595" s="7"/>
      <c r="L595" s="9"/>
      <c r="M595" s="9"/>
      <c r="N595" s="7"/>
      <c r="P595" s="18"/>
      <c r="Q595" s="2"/>
      <c r="R595" s="2"/>
      <c r="AF595" s="14"/>
    </row>
    <row r="596" spans="1:32" customFormat="1" x14ac:dyDescent="0.25">
      <c r="A596" s="9"/>
      <c r="C596" s="14"/>
      <c r="E596" t="str">
        <f>IF(ISNA(VLOOKUP(C596,P:Q,2,0)),"",VLOOKUP(C596,P:Q,2,0))</f>
        <v/>
      </c>
      <c r="F596" s="15" t="str">
        <f>IF(ISNA(VLOOKUP(C596,P:R,3,0)),"",VLOOKUP(C596,P:R,3,0))</f>
        <v/>
      </c>
      <c r="G596">
        <f>ROUND(IF(D596&gt;0,0,ABS(D596)),2)</f>
        <v>0</v>
      </c>
      <c r="H596">
        <f>ROUND(IF(D596&gt;0,D596,),2)</f>
        <v>0</v>
      </c>
      <c r="K596" s="7"/>
      <c r="L596" s="9"/>
      <c r="M596" s="9"/>
      <c r="N596" s="7"/>
      <c r="P596" s="18"/>
      <c r="Q596" s="2"/>
      <c r="R596" s="2"/>
      <c r="AF596" s="14"/>
    </row>
    <row r="597" spans="1:32" customFormat="1" x14ac:dyDescent="0.25">
      <c r="A597" s="9"/>
      <c r="C597" s="14"/>
      <c r="E597" t="str">
        <f>IF(ISNA(VLOOKUP(C597,P:Q,2,0)),"",VLOOKUP(C597,P:Q,2,0))</f>
        <v/>
      </c>
      <c r="F597" s="15" t="str">
        <f>IF(ISNA(VLOOKUP(C597,P:R,3,0)),"",VLOOKUP(C597,P:R,3,0))</f>
        <v/>
      </c>
      <c r="G597">
        <f>ROUND(IF(D597&gt;0,0,ABS(D597)),2)</f>
        <v>0</v>
      </c>
      <c r="H597">
        <f>ROUND(IF(D597&gt;0,D597,),2)</f>
        <v>0</v>
      </c>
      <c r="K597" s="7"/>
      <c r="L597" s="9"/>
      <c r="M597" s="9"/>
      <c r="N597" s="7"/>
      <c r="P597" s="18"/>
      <c r="Q597" s="2"/>
      <c r="R597" s="2"/>
      <c r="AF597" s="14"/>
    </row>
    <row r="598" spans="1:32" customFormat="1" x14ac:dyDescent="0.25">
      <c r="A598" s="9"/>
      <c r="C598" s="14"/>
      <c r="E598" t="str">
        <f>IF(ISNA(VLOOKUP(C598,P:Q,2,0)),"",VLOOKUP(C598,P:Q,2,0))</f>
        <v/>
      </c>
      <c r="F598" s="15" t="str">
        <f>IF(ISNA(VLOOKUP(C598,P:R,3,0)),"",VLOOKUP(C598,P:R,3,0))</f>
        <v/>
      </c>
      <c r="G598">
        <f>ROUND(IF(D598&gt;0,0,ABS(D598)),2)</f>
        <v>0</v>
      </c>
      <c r="H598">
        <f>ROUND(IF(D598&gt;0,D598,),2)</f>
        <v>0</v>
      </c>
      <c r="K598" s="7"/>
      <c r="L598" s="9"/>
      <c r="M598" s="9"/>
      <c r="N598" s="7"/>
      <c r="P598" s="18"/>
      <c r="Q598" s="2"/>
      <c r="R598" s="2"/>
      <c r="AF598" s="14"/>
    </row>
    <row r="599" spans="1:32" customFormat="1" x14ac:dyDescent="0.25">
      <c r="A599" s="9"/>
      <c r="C599" s="14"/>
      <c r="E599" t="str">
        <f>IF(ISNA(VLOOKUP(C599,P:Q,2,0)),"",VLOOKUP(C599,P:Q,2,0))</f>
        <v/>
      </c>
      <c r="F599" s="15" t="str">
        <f>IF(ISNA(VLOOKUP(C599,P:R,3,0)),"",VLOOKUP(C599,P:R,3,0))</f>
        <v/>
      </c>
      <c r="G599">
        <f>ROUND(IF(D599&gt;0,0,ABS(D599)),2)</f>
        <v>0</v>
      </c>
      <c r="H599">
        <f>ROUND(IF(D599&gt;0,D599,),2)</f>
        <v>0</v>
      </c>
      <c r="K599" s="7"/>
      <c r="L599" s="9"/>
      <c r="M599" s="9"/>
      <c r="N599" s="7"/>
      <c r="P599" s="18"/>
      <c r="Q599" s="2"/>
      <c r="R599" s="2"/>
      <c r="AF599" s="14"/>
    </row>
    <row r="600" spans="1:32" customFormat="1" x14ac:dyDescent="0.25">
      <c r="A600" s="9"/>
      <c r="C600" s="14"/>
      <c r="E600" t="str">
        <f>IF(ISNA(VLOOKUP(C600,P:Q,2,0)),"",VLOOKUP(C600,P:Q,2,0))</f>
        <v/>
      </c>
      <c r="F600" s="15" t="str">
        <f>IF(ISNA(VLOOKUP(C600,P:R,3,0)),"",VLOOKUP(C600,P:R,3,0))</f>
        <v/>
      </c>
      <c r="G600">
        <f>ROUND(IF(D600&gt;0,0,ABS(D600)),2)</f>
        <v>0</v>
      </c>
      <c r="H600">
        <f>ROUND(IF(D600&gt;0,D600,),2)</f>
        <v>0</v>
      </c>
      <c r="K600" s="7"/>
      <c r="L600" s="9"/>
      <c r="M600" s="9"/>
      <c r="N600" s="7"/>
      <c r="P600" s="18"/>
      <c r="Q600" s="2"/>
      <c r="R600" s="2"/>
      <c r="AF600" s="14"/>
    </row>
    <row r="601" spans="1:32" customFormat="1" x14ac:dyDescent="0.25">
      <c r="A601" s="9"/>
      <c r="C601" s="14"/>
      <c r="E601" t="str">
        <f>IF(ISNA(VLOOKUP(C601,P:Q,2,0)),"",VLOOKUP(C601,P:Q,2,0))</f>
        <v/>
      </c>
      <c r="F601" s="15" t="str">
        <f>IF(ISNA(VLOOKUP(C601,P:R,3,0)),"",VLOOKUP(C601,P:R,3,0))</f>
        <v/>
      </c>
      <c r="G601">
        <f>ROUND(IF(D601&gt;0,0,ABS(D601)),2)</f>
        <v>0</v>
      </c>
      <c r="H601">
        <f>ROUND(IF(D601&gt;0,D601,),2)</f>
        <v>0</v>
      </c>
      <c r="K601" s="7"/>
      <c r="L601" s="9"/>
      <c r="M601" s="9"/>
      <c r="N601" s="7"/>
      <c r="P601" s="18"/>
      <c r="Q601" s="2"/>
      <c r="R601" s="2"/>
      <c r="AF601" s="14"/>
    </row>
    <row r="602" spans="1:32" customFormat="1" x14ac:dyDescent="0.25">
      <c r="A602" s="9"/>
      <c r="C602" s="14"/>
      <c r="E602" t="str">
        <f>IF(ISNA(VLOOKUP(C602,P:Q,2,0)),"",VLOOKUP(C602,P:Q,2,0))</f>
        <v/>
      </c>
      <c r="F602" s="15" t="str">
        <f>IF(ISNA(VLOOKUP(C602,P:R,3,0)),"",VLOOKUP(C602,P:R,3,0))</f>
        <v/>
      </c>
      <c r="G602">
        <f>ROUND(IF(D602&gt;0,0,ABS(D602)),2)</f>
        <v>0</v>
      </c>
      <c r="H602">
        <f>ROUND(IF(D602&gt;0,D602,),2)</f>
        <v>0</v>
      </c>
      <c r="K602" s="7"/>
      <c r="L602" s="9"/>
      <c r="M602" s="9"/>
      <c r="N602" s="7"/>
      <c r="P602" s="18"/>
      <c r="Q602" s="2"/>
      <c r="R602" s="2"/>
      <c r="AF602" s="14"/>
    </row>
    <row r="603" spans="1:32" customFormat="1" x14ac:dyDescent="0.25">
      <c r="A603" s="9"/>
      <c r="C603" s="14"/>
      <c r="E603" t="str">
        <f>IF(ISNA(VLOOKUP(C603,P:Q,2,0)),"",VLOOKUP(C603,P:Q,2,0))</f>
        <v/>
      </c>
      <c r="F603" s="15" t="str">
        <f>IF(ISNA(VLOOKUP(C603,P:R,3,0)),"",VLOOKUP(C603,P:R,3,0))</f>
        <v/>
      </c>
      <c r="G603">
        <f>ROUND(IF(D603&gt;0,0,ABS(D603)),2)</f>
        <v>0</v>
      </c>
      <c r="H603">
        <f>ROUND(IF(D603&gt;0,D603,),2)</f>
        <v>0</v>
      </c>
      <c r="K603" s="7"/>
      <c r="L603" s="9"/>
      <c r="M603" s="9"/>
      <c r="N603" s="7"/>
      <c r="P603" s="18"/>
      <c r="Q603" s="2"/>
      <c r="R603" s="2"/>
      <c r="AF603" s="14"/>
    </row>
    <row r="604" spans="1:32" customFormat="1" x14ac:dyDescent="0.25">
      <c r="A604" s="9"/>
      <c r="C604" s="14"/>
      <c r="E604" t="str">
        <f>IF(ISNA(VLOOKUP(C604,P:Q,2,0)),"",VLOOKUP(C604,P:Q,2,0))</f>
        <v/>
      </c>
      <c r="F604" s="15" t="str">
        <f>IF(ISNA(VLOOKUP(C604,P:R,3,0)),"",VLOOKUP(C604,P:R,3,0))</f>
        <v/>
      </c>
      <c r="G604">
        <f>ROUND(IF(D604&gt;0,0,ABS(D604)),2)</f>
        <v>0</v>
      </c>
      <c r="H604">
        <f>ROUND(IF(D604&gt;0,D604,),2)</f>
        <v>0</v>
      </c>
      <c r="K604" s="7"/>
      <c r="L604" s="9"/>
      <c r="M604" s="9"/>
      <c r="N604" s="7"/>
      <c r="P604" s="18"/>
      <c r="Q604" s="2"/>
      <c r="R604" s="2"/>
      <c r="AF604" s="14"/>
    </row>
    <row r="605" spans="1:32" customFormat="1" x14ac:dyDescent="0.25">
      <c r="A605" s="9"/>
      <c r="C605" s="14"/>
      <c r="E605" t="str">
        <f>IF(ISNA(VLOOKUP(C605,P:Q,2,0)),"",VLOOKUP(C605,P:Q,2,0))</f>
        <v/>
      </c>
      <c r="F605" s="15" t="str">
        <f>IF(ISNA(VLOOKUP(C605,P:R,3,0)),"",VLOOKUP(C605,P:R,3,0))</f>
        <v/>
      </c>
      <c r="G605">
        <f>ROUND(IF(D605&gt;0,0,ABS(D605)),2)</f>
        <v>0</v>
      </c>
      <c r="H605">
        <f>ROUND(IF(D605&gt;0,D605,),2)</f>
        <v>0</v>
      </c>
      <c r="K605" s="7"/>
      <c r="L605" s="9"/>
      <c r="M605" s="9"/>
      <c r="N605" s="7"/>
      <c r="P605" s="18"/>
      <c r="Q605" s="2"/>
      <c r="R605" s="2"/>
      <c r="AF605" s="14"/>
    </row>
    <row r="606" spans="1:32" customFormat="1" x14ac:dyDescent="0.25">
      <c r="A606" s="9"/>
      <c r="C606" s="14"/>
      <c r="E606" t="str">
        <f>IF(ISNA(VLOOKUP(C606,P:Q,2,0)),"",VLOOKUP(C606,P:Q,2,0))</f>
        <v/>
      </c>
      <c r="F606" s="15" t="str">
        <f>IF(ISNA(VLOOKUP(C606,P:R,3,0)),"",VLOOKUP(C606,P:R,3,0))</f>
        <v/>
      </c>
      <c r="G606">
        <f>ROUND(IF(D606&gt;0,0,ABS(D606)),2)</f>
        <v>0</v>
      </c>
      <c r="H606">
        <f>ROUND(IF(D606&gt;0,D606,),2)</f>
        <v>0</v>
      </c>
      <c r="K606" s="7"/>
      <c r="L606" s="9"/>
      <c r="M606" s="9"/>
      <c r="N606" s="7"/>
      <c r="P606" s="18"/>
      <c r="Q606" s="2"/>
      <c r="R606" s="2"/>
      <c r="AF606" s="14"/>
    </row>
    <row r="607" spans="1:32" customFormat="1" x14ac:dyDescent="0.25">
      <c r="A607" s="9"/>
      <c r="C607" s="14"/>
      <c r="E607" t="str">
        <f>IF(ISNA(VLOOKUP(C607,P:Q,2,0)),"",VLOOKUP(C607,P:Q,2,0))</f>
        <v/>
      </c>
      <c r="F607" s="15" t="str">
        <f>IF(ISNA(VLOOKUP(C607,P:R,3,0)),"",VLOOKUP(C607,P:R,3,0))</f>
        <v/>
      </c>
      <c r="G607">
        <f>ROUND(IF(D607&gt;0,0,ABS(D607)),2)</f>
        <v>0</v>
      </c>
      <c r="H607">
        <f>ROUND(IF(D607&gt;0,D607,),2)</f>
        <v>0</v>
      </c>
      <c r="K607" s="7"/>
      <c r="L607" s="9"/>
      <c r="M607" s="9"/>
      <c r="N607" s="7"/>
      <c r="P607" s="18"/>
      <c r="Q607" s="2"/>
      <c r="R607" s="2"/>
      <c r="AF607" s="14"/>
    </row>
    <row r="608" spans="1:32" customFormat="1" x14ac:dyDescent="0.25">
      <c r="A608" s="9"/>
      <c r="C608" s="14"/>
      <c r="E608" t="str">
        <f>IF(ISNA(VLOOKUP(C608,P:Q,2,0)),"",VLOOKUP(C608,P:Q,2,0))</f>
        <v/>
      </c>
      <c r="F608" s="15" t="str">
        <f>IF(ISNA(VLOOKUP(C608,P:R,3,0)),"",VLOOKUP(C608,P:R,3,0))</f>
        <v/>
      </c>
      <c r="G608">
        <f>ROUND(IF(D608&gt;0,0,ABS(D608)),2)</f>
        <v>0</v>
      </c>
      <c r="H608">
        <f>ROUND(IF(D608&gt;0,D608,),2)</f>
        <v>0</v>
      </c>
      <c r="K608" s="7"/>
      <c r="L608" s="9"/>
      <c r="M608" s="9"/>
      <c r="N608" s="7"/>
      <c r="P608" s="18"/>
      <c r="Q608" s="2"/>
      <c r="R608" s="2"/>
      <c r="AF608" s="14"/>
    </row>
    <row r="609" spans="1:32" customFormat="1" x14ac:dyDescent="0.25">
      <c r="A609" s="9"/>
      <c r="C609" s="14"/>
      <c r="E609" t="str">
        <f>IF(ISNA(VLOOKUP(C609,P:Q,2,0)),"",VLOOKUP(C609,P:Q,2,0))</f>
        <v/>
      </c>
      <c r="F609" s="15" t="str">
        <f>IF(ISNA(VLOOKUP(C609,P:R,3,0)),"",VLOOKUP(C609,P:R,3,0))</f>
        <v/>
      </c>
      <c r="G609">
        <f>ROUND(IF(D609&gt;0,0,ABS(D609)),2)</f>
        <v>0</v>
      </c>
      <c r="H609">
        <f>ROUND(IF(D609&gt;0,D609,),2)</f>
        <v>0</v>
      </c>
      <c r="K609" s="7"/>
      <c r="L609" s="9"/>
      <c r="M609" s="9"/>
      <c r="N609" s="7"/>
      <c r="P609" s="18"/>
      <c r="Q609" s="2"/>
      <c r="R609" s="2"/>
      <c r="AF609" s="14"/>
    </row>
    <row r="610" spans="1:32" customFormat="1" x14ac:dyDescent="0.25">
      <c r="A610" s="9"/>
      <c r="C610" s="14"/>
      <c r="E610" t="str">
        <f>IF(ISNA(VLOOKUP(C610,P:Q,2,0)),"",VLOOKUP(C610,P:Q,2,0))</f>
        <v/>
      </c>
      <c r="F610" s="15" t="str">
        <f>IF(ISNA(VLOOKUP(C610,P:R,3,0)),"",VLOOKUP(C610,P:R,3,0))</f>
        <v/>
      </c>
      <c r="G610">
        <f>ROUND(IF(D610&gt;0,0,ABS(D610)),2)</f>
        <v>0</v>
      </c>
      <c r="H610">
        <f>ROUND(IF(D610&gt;0,D610,),2)</f>
        <v>0</v>
      </c>
      <c r="K610" s="7"/>
      <c r="L610" s="9"/>
      <c r="M610" s="9"/>
      <c r="N610" s="7"/>
      <c r="P610" s="18"/>
      <c r="Q610" s="2"/>
      <c r="R610" s="2"/>
      <c r="AF610" s="14"/>
    </row>
    <row r="611" spans="1:32" customFormat="1" x14ac:dyDescent="0.25">
      <c r="A611" s="9"/>
      <c r="C611" s="14"/>
      <c r="E611" t="str">
        <f>IF(ISNA(VLOOKUP(C611,P:Q,2,0)),"",VLOOKUP(C611,P:Q,2,0))</f>
        <v/>
      </c>
      <c r="F611" s="15" t="str">
        <f>IF(ISNA(VLOOKUP(C611,P:R,3,0)),"",VLOOKUP(C611,P:R,3,0))</f>
        <v/>
      </c>
      <c r="G611">
        <f>ROUND(IF(D611&gt;0,0,ABS(D611)),2)</f>
        <v>0</v>
      </c>
      <c r="H611">
        <f>ROUND(IF(D611&gt;0,D611,),2)</f>
        <v>0</v>
      </c>
      <c r="K611" s="7"/>
      <c r="L611" s="9"/>
      <c r="M611" s="9"/>
      <c r="N611" s="7"/>
      <c r="P611" s="18"/>
      <c r="Q611" s="2"/>
      <c r="R611" s="2"/>
      <c r="AF611" s="14"/>
    </row>
    <row r="612" spans="1:32" customFormat="1" x14ac:dyDescent="0.25">
      <c r="A612" s="9"/>
      <c r="C612" s="14"/>
      <c r="E612" t="str">
        <f>IF(ISNA(VLOOKUP(C612,P:Q,2,0)),"",VLOOKUP(C612,P:Q,2,0))</f>
        <v/>
      </c>
      <c r="F612" s="15" t="str">
        <f>IF(ISNA(VLOOKUP(C612,P:R,3,0)),"",VLOOKUP(C612,P:R,3,0))</f>
        <v/>
      </c>
      <c r="G612">
        <f>ROUND(IF(D612&gt;0,0,ABS(D612)),2)</f>
        <v>0</v>
      </c>
      <c r="H612">
        <f>ROUND(IF(D612&gt;0,D612,),2)</f>
        <v>0</v>
      </c>
      <c r="K612" s="7"/>
      <c r="L612" s="9"/>
      <c r="M612" s="9"/>
      <c r="N612" s="7"/>
      <c r="P612" s="18"/>
      <c r="Q612" s="2"/>
      <c r="R612" s="2"/>
      <c r="AF612" s="14"/>
    </row>
    <row r="613" spans="1:32" customFormat="1" x14ac:dyDescent="0.25">
      <c r="A613" s="9"/>
      <c r="C613" s="14"/>
      <c r="E613" t="str">
        <f>IF(ISNA(VLOOKUP(C613,P:Q,2,0)),"",VLOOKUP(C613,P:Q,2,0))</f>
        <v/>
      </c>
      <c r="F613" s="15" t="str">
        <f>IF(ISNA(VLOOKUP(C613,P:R,3,0)),"",VLOOKUP(C613,P:R,3,0))</f>
        <v/>
      </c>
      <c r="G613">
        <f>ROUND(IF(D613&gt;0,0,ABS(D613)),2)</f>
        <v>0</v>
      </c>
      <c r="H613">
        <f>ROUND(IF(D613&gt;0,D613,),2)</f>
        <v>0</v>
      </c>
      <c r="K613" s="7"/>
      <c r="L613" s="9"/>
      <c r="M613" s="9"/>
      <c r="N613" s="7"/>
      <c r="P613" s="18"/>
      <c r="Q613" s="2"/>
      <c r="R613" s="2"/>
      <c r="AF613" s="14"/>
    </row>
    <row r="614" spans="1:32" customFormat="1" x14ac:dyDescent="0.25">
      <c r="A614" s="9"/>
      <c r="C614" s="14"/>
      <c r="E614" t="str">
        <f>IF(ISNA(VLOOKUP(C614,P:Q,2,0)),"",VLOOKUP(C614,P:Q,2,0))</f>
        <v/>
      </c>
      <c r="F614" s="15" t="str">
        <f>IF(ISNA(VLOOKUP(C614,P:R,3,0)),"",VLOOKUP(C614,P:R,3,0))</f>
        <v/>
      </c>
      <c r="G614">
        <f>ROUND(IF(D614&gt;0,0,ABS(D614)),2)</f>
        <v>0</v>
      </c>
      <c r="H614">
        <f>ROUND(IF(D614&gt;0,D614,),2)</f>
        <v>0</v>
      </c>
      <c r="K614" s="7"/>
      <c r="L614" s="9"/>
      <c r="M614" s="9"/>
      <c r="N614" s="7"/>
      <c r="P614" s="18"/>
      <c r="Q614" s="2"/>
      <c r="R614" s="2"/>
      <c r="AF614" s="14"/>
    </row>
    <row r="615" spans="1:32" customFormat="1" x14ac:dyDescent="0.25">
      <c r="A615" s="9"/>
      <c r="C615" s="14"/>
      <c r="E615" t="str">
        <f>IF(ISNA(VLOOKUP(C615,P:Q,2,0)),"",VLOOKUP(C615,P:Q,2,0))</f>
        <v/>
      </c>
      <c r="F615" s="15" t="str">
        <f>IF(ISNA(VLOOKUP(C615,P:R,3,0)),"",VLOOKUP(C615,P:R,3,0))</f>
        <v/>
      </c>
      <c r="G615">
        <f>ROUND(IF(D615&gt;0,0,ABS(D615)),2)</f>
        <v>0</v>
      </c>
      <c r="H615">
        <f>ROUND(IF(D615&gt;0,D615,),2)</f>
        <v>0</v>
      </c>
      <c r="K615" s="7"/>
      <c r="L615" s="9"/>
      <c r="M615" s="9"/>
      <c r="N615" s="7"/>
      <c r="P615" s="18"/>
      <c r="Q615" s="2"/>
      <c r="R615" s="2"/>
      <c r="AF615" s="14"/>
    </row>
    <row r="616" spans="1:32" customFormat="1" x14ac:dyDescent="0.25">
      <c r="A616" s="9"/>
      <c r="C616" s="14"/>
      <c r="E616" t="str">
        <f>IF(ISNA(VLOOKUP(C616,P:Q,2,0)),"",VLOOKUP(C616,P:Q,2,0))</f>
        <v/>
      </c>
      <c r="F616" s="15" t="str">
        <f>IF(ISNA(VLOOKUP(C616,P:R,3,0)),"",VLOOKUP(C616,P:R,3,0))</f>
        <v/>
      </c>
      <c r="G616">
        <f>ROUND(IF(D616&gt;0,0,ABS(D616)),2)</f>
        <v>0</v>
      </c>
      <c r="H616">
        <f>ROUND(IF(D616&gt;0,D616,),2)</f>
        <v>0</v>
      </c>
      <c r="K616" s="7"/>
      <c r="L616" s="9"/>
      <c r="M616" s="9"/>
      <c r="N616" s="7"/>
      <c r="P616" s="18"/>
      <c r="Q616" s="2"/>
      <c r="R616" s="2"/>
      <c r="AF616" s="14"/>
    </row>
    <row r="617" spans="1:32" customFormat="1" x14ac:dyDescent="0.25">
      <c r="A617" s="9"/>
      <c r="C617" s="14"/>
      <c r="E617" t="str">
        <f>IF(ISNA(VLOOKUP(C617,P:Q,2,0)),"",VLOOKUP(C617,P:Q,2,0))</f>
        <v/>
      </c>
      <c r="F617" s="15" t="str">
        <f>IF(ISNA(VLOOKUP(C617,P:R,3,0)),"",VLOOKUP(C617,P:R,3,0))</f>
        <v/>
      </c>
      <c r="G617">
        <f>ROUND(IF(D617&gt;0,0,ABS(D617)),2)</f>
        <v>0</v>
      </c>
      <c r="H617">
        <f>ROUND(IF(D617&gt;0,D617,),2)</f>
        <v>0</v>
      </c>
      <c r="K617" s="7"/>
      <c r="L617" s="9"/>
      <c r="M617" s="9"/>
      <c r="N617" s="7"/>
      <c r="P617" s="18"/>
      <c r="Q617" s="2"/>
      <c r="R617" s="2"/>
      <c r="AF617" s="14"/>
    </row>
    <row r="618" spans="1:32" customFormat="1" x14ac:dyDescent="0.25">
      <c r="A618" s="9"/>
      <c r="C618" s="14"/>
      <c r="E618" t="str">
        <f>IF(ISNA(VLOOKUP(C618,P:Q,2,0)),"",VLOOKUP(C618,P:Q,2,0))</f>
        <v/>
      </c>
      <c r="F618" s="15" t="str">
        <f>IF(ISNA(VLOOKUP(C618,P:R,3,0)),"",VLOOKUP(C618,P:R,3,0))</f>
        <v/>
      </c>
      <c r="G618">
        <f>ROUND(IF(D618&gt;0,0,ABS(D618)),2)</f>
        <v>0</v>
      </c>
      <c r="H618">
        <f>ROUND(IF(D618&gt;0,D618,),2)</f>
        <v>0</v>
      </c>
      <c r="K618" s="7"/>
      <c r="L618" s="9"/>
      <c r="M618" s="9"/>
      <c r="N618" s="7"/>
      <c r="P618" s="18"/>
      <c r="Q618" s="2"/>
      <c r="R618" s="2"/>
      <c r="AF618" s="14"/>
    </row>
    <row r="619" spans="1:32" customFormat="1" x14ac:dyDescent="0.25">
      <c r="A619" s="9"/>
      <c r="C619" s="14"/>
      <c r="E619" t="str">
        <f>IF(ISNA(VLOOKUP(C619,P:Q,2,0)),"",VLOOKUP(C619,P:Q,2,0))</f>
        <v/>
      </c>
      <c r="F619" s="15" t="str">
        <f>IF(ISNA(VLOOKUP(C619,P:R,3,0)),"",VLOOKUP(C619,P:R,3,0))</f>
        <v/>
      </c>
      <c r="G619">
        <f>ROUND(IF(D619&gt;0,0,ABS(D619)),2)</f>
        <v>0</v>
      </c>
      <c r="H619">
        <f>ROUND(IF(D619&gt;0,D619,),2)</f>
        <v>0</v>
      </c>
      <c r="K619" s="7"/>
      <c r="L619" s="9"/>
      <c r="M619" s="9"/>
      <c r="N619" s="7"/>
      <c r="P619" s="18"/>
      <c r="Q619" s="2"/>
      <c r="R619" s="2"/>
      <c r="AF619" s="14"/>
    </row>
    <row r="620" spans="1:32" customFormat="1" x14ac:dyDescent="0.25">
      <c r="A620" s="9"/>
      <c r="C620" s="14"/>
      <c r="E620" t="str">
        <f>IF(ISNA(VLOOKUP(C620,P:Q,2,0)),"",VLOOKUP(C620,P:Q,2,0))</f>
        <v/>
      </c>
      <c r="F620" s="15" t="str">
        <f>IF(ISNA(VLOOKUP(C620,P:R,3,0)),"",VLOOKUP(C620,P:R,3,0))</f>
        <v/>
      </c>
      <c r="G620">
        <f>ROUND(IF(D620&gt;0,0,ABS(D620)),2)</f>
        <v>0</v>
      </c>
      <c r="H620">
        <f>ROUND(IF(D620&gt;0,D620,),2)</f>
        <v>0</v>
      </c>
      <c r="K620" s="7"/>
      <c r="L620" s="9"/>
      <c r="M620" s="9"/>
      <c r="N620" s="7"/>
      <c r="P620" s="18"/>
      <c r="Q620" s="2"/>
      <c r="R620" s="2"/>
      <c r="AF620" s="14"/>
    </row>
    <row r="621" spans="1:32" customFormat="1" x14ac:dyDescent="0.25">
      <c r="A621" s="9"/>
      <c r="C621" s="14"/>
      <c r="E621" t="str">
        <f>IF(ISNA(VLOOKUP(C621,P:Q,2,0)),"",VLOOKUP(C621,P:Q,2,0))</f>
        <v/>
      </c>
      <c r="F621" s="15" t="str">
        <f>IF(ISNA(VLOOKUP(C621,P:R,3,0)),"",VLOOKUP(C621,P:R,3,0))</f>
        <v/>
      </c>
      <c r="G621">
        <f>ROUND(IF(D621&gt;0,0,ABS(D621)),2)</f>
        <v>0</v>
      </c>
      <c r="H621">
        <f>ROUND(IF(D621&gt;0,D621,),2)</f>
        <v>0</v>
      </c>
      <c r="K621" s="7"/>
      <c r="L621" s="9"/>
      <c r="M621" s="9"/>
      <c r="N621" s="7"/>
      <c r="P621" s="18"/>
      <c r="Q621" s="2"/>
      <c r="R621" s="2"/>
      <c r="AF621" s="14"/>
    </row>
    <row r="622" spans="1:32" customFormat="1" x14ac:dyDescent="0.25">
      <c r="A622" s="9"/>
      <c r="C622" s="14"/>
      <c r="E622" t="str">
        <f>IF(ISNA(VLOOKUP(C622,P:Q,2,0)),"",VLOOKUP(C622,P:Q,2,0))</f>
        <v/>
      </c>
      <c r="F622" s="15" t="str">
        <f>IF(ISNA(VLOOKUP(C622,P:R,3,0)),"",VLOOKUP(C622,P:R,3,0))</f>
        <v/>
      </c>
      <c r="G622">
        <f>ROUND(IF(D622&gt;0,0,ABS(D622)),2)</f>
        <v>0</v>
      </c>
      <c r="H622">
        <f>ROUND(IF(D622&gt;0,D622,),2)</f>
        <v>0</v>
      </c>
      <c r="K622" s="7"/>
      <c r="L622" s="9"/>
      <c r="M622" s="9"/>
      <c r="N622" s="7"/>
      <c r="P622" s="18"/>
      <c r="Q622" s="2"/>
      <c r="R622" s="2"/>
      <c r="AF622" s="14"/>
    </row>
    <row r="623" spans="1:32" customFormat="1" x14ac:dyDescent="0.25">
      <c r="A623" s="9"/>
      <c r="C623" s="14"/>
      <c r="E623" t="str">
        <f>IF(ISNA(VLOOKUP(C623,P:Q,2,0)),"",VLOOKUP(C623,P:Q,2,0))</f>
        <v/>
      </c>
      <c r="F623" s="15" t="str">
        <f>IF(ISNA(VLOOKUP(C623,P:R,3,0)),"",VLOOKUP(C623,P:R,3,0))</f>
        <v/>
      </c>
      <c r="G623">
        <f>ROUND(IF(D623&gt;0,0,ABS(D623)),2)</f>
        <v>0</v>
      </c>
      <c r="H623">
        <f>ROUND(IF(D623&gt;0,D623,),2)</f>
        <v>0</v>
      </c>
      <c r="K623" s="7"/>
      <c r="L623" s="9"/>
      <c r="M623" s="9"/>
      <c r="N623" s="7"/>
      <c r="P623" s="18"/>
      <c r="Q623" s="2"/>
      <c r="R623" s="2"/>
      <c r="AF623" s="14"/>
    </row>
    <row r="624" spans="1:32" customFormat="1" x14ac:dyDescent="0.25">
      <c r="A624" s="9"/>
      <c r="C624" s="14"/>
      <c r="E624" t="str">
        <f>IF(ISNA(VLOOKUP(C624,P:Q,2,0)),"",VLOOKUP(C624,P:Q,2,0))</f>
        <v/>
      </c>
      <c r="F624" s="15" t="str">
        <f>IF(ISNA(VLOOKUP(C624,P:R,3,0)),"",VLOOKUP(C624,P:R,3,0))</f>
        <v/>
      </c>
      <c r="G624">
        <f>ROUND(IF(D624&gt;0,0,ABS(D624)),2)</f>
        <v>0</v>
      </c>
      <c r="H624">
        <f>ROUND(IF(D624&gt;0,D624,),2)</f>
        <v>0</v>
      </c>
      <c r="K624" s="7"/>
      <c r="L624" s="9"/>
      <c r="M624" s="9"/>
      <c r="N624" s="7"/>
      <c r="P624" s="18"/>
      <c r="Q624" s="2"/>
      <c r="R624" s="2"/>
      <c r="AF624" s="14"/>
    </row>
    <row r="625" spans="1:32" customFormat="1" x14ac:dyDescent="0.25">
      <c r="A625" s="9"/>
      <c r="C625" s="14"/>
      <c r="E625" t="str">
        <f>IF(ISNA(VLOOKUP(C625,P:Q,2,0)),"",VLOOKUP(C625,P:Q,2,0))</f>
        <v/>
      </c>
      <c r="F625" s="15" t="str">
        <f>IF(ISNA(VLOOKUP(C625,P:R,3,0)),"",VLOOKUP(C625,P:R,3,0))</f>
        <v/>
      </c>
      <c r="G625">
        <f>ROUND(IF(D625&gt;0,0,ABS(D625)),2)</f>
        <v>0</v>
      </c>
      <c r="H625">
        <f>ROUND(IF(D625&gt;0,D625,),2)</f>
        <v>0</v>
      </c>
      <c r="K625" s="7"/>
      <c r="L625" s="9"/>
      <c r="M625" s="9"/>
      <c r="N625" s="7"/>
      <c r="P625" s="18"/>
      <c r="Q625" s="2"/>
      <c r="R625" s="2"/>
      <c r="AF625" s="14"/>
    </row>
    <row r="626" spans="1:32" customFormat="1" x14ac:dyDescent="0.25">
      <c r="A626" s="9"/>
      <c r="C626" s="14"/>
      <c r="E626" t="str">
        <f>IF(ISNA(VLOOKUP(C626,P:Q,2,0)),"",VLOOKUP(C626,P:Q,2,0))</f>
        <v/>
      </c>
      <c r="F626" s="15" t="str">
        <f>IF(ISNA(VLOOKUP(C626,P:R,3,0)),"",VLOOKUP(C626,P:R,3,0))</f>
        <v/>
      </c>
      <c r="G626">
        <f>ROUND(IF(D626&gt;0,0,ABS(D626)),2)</f>
        <v>0</v>
      </c>
      <c r="H626">
        <f>ROUND(IF(D626&gt;0,D626,),2)</f>
        <v>0</v>
      </c>
      <c r="K626" s="7"/>
      <c r="L626" s="9"/>
      <c r="M626" s="9"/>
      <c r="N626" s="7"/>
      <c r="P626" s="18"/>
      <c r="Q626" s="2"/>
      <c r="R626" s="2"/>
      <c r="AF626" s="14"/>
    </row>
    <row r="627" spans="1:32" customFormat="1" x14ac:dyDescent="0.25">
      <c r="A627" s="9"/>
      <c r="C627" s="14"/>
      <c r="E627" t="str">
        <f>IF(ISNA(VLOOKUP(C627,P:Q,2,0)),"",VLOOKUP(C627,P:Q,2,0))</f>
        <v/>
      </c>
      <c r="F627" s="15" t="str">
        <f>IF(ISNA(VLOOKUP(C627,P:R,3,0)),"",VLOOKUP(C627,P:R,3,0))</f>
        <v/>
      </c>
      <c r="G627">
        <f>ROUND(IF(D627&gt;0,0,ABS(D627)),2)</f>
        <v>0</v>
      </c>
      <c r="H627">
        <f>ROUND(IF(D627&gt;0,D627,),2)</f>
        <v>0</v>
      </c>
      <c r="K627" s="7"/>
      <c r="L627" s="9"/>
      <c r="M627" s="9"/>
      <c r="N627" s="7"/>
      <c r="P627" s="18"/>
      <c r="Q627" s="2"/>
      <c r="R627" s="2"/>
      <c r="AF627" s="14"/>
    </row>
    <row r="628" spans="1:32" customFormat="1" x14ac:dyDescent="0.25">
      <c r="A628" s="9"/>
      <c r="C628" s="14"/>
      <c r="E628" t="str">
        <f>IF(ISNA(VLOOKUP(C628,P:Q,2,0)),"",VLOOKUP(C628,P:Q,2,0))</f>
        <v/>
      </c>
      <c r="F628" s="15" t="str">
        <f>IF(ISNA(VLOOKUP(C628,P:R,3,0)),"",VLOOKUP(C628,P:R,3,0))</f>
        <v/>
      </c>
      <c r="G628">
        <f>ROUND(IF(D628&gt;0,0,ABS(D628)),2)</f>
        <v>0</v>
      </c>
      <c r="H628">
        <f>ROUND(IF(D628&gt;0,D628,),2)</f>
        <v>0</v>
      </c>
      <c r="K628" s="7"/>
      <c r="L628" s="9"/>
      <c r="M628" s="9"/>
      <c r="N628" s="7"/>
      <c r="P628" s="18"/>
      <c r="Q628" s="2"/>
      <c r="R628" s="2"/>
      <c r="AF628" s="14"/>
    </row>
    <row r="629" spans="1:32" customFormat="1" x14ac:dyDescent="0.25">
      <c r="A629" s="9"/>
      <c r="C629" s="14"/>
      <c r="E629" t="str">
        <f>IF(ISNA(VLOOKUP(C629,P:Q,2,0)),"",VLOOKUP(C629,P:Q,2,0))</f>
        <v/>
      </c>
      <c r="F629" s="15" t="str">
        <f>IF(ISNA(VLOOKUP(C629,P:R,3,0)),"",VLOOKUP(C629,P:R,3,0))</f>
        <v/>
      </c>
      <c r="G629">
        <f>ROUND(IF(D629&gt;0,0,ABS(D629)),2)</f>
        <v>0</v>
      </c>
      <c r="H629">
        <f>ROUND(IF(D629&gt;0,D629,),2)</f>
        <v>0</v>
      </c>
      <c r="K629" s="7"/>
      <c r="L629" s="9"/>
      <c r="M629" s="9"/>
      <c r="N629" s="7"/>
      <c r="P629" s="18"/>
      <c r="Q629" s="2"/>
      <c r="R629" s="2"/>
      <c r="AF629" s="14"/>
    </row>
    <row r="630" spans="1:32" customFormat="1" x14ac:dyDescent="0.25">
      <c r="A630" s="9"/>
      <c r="C630" s="14"/>
      <c r="E630" t="str">
        <f>IF(ISNA(VLOOKUP(C630,P:Q,2,0)),"",VLOOKUP(C630,P:Q,2,0))</f>
        <v/>
      </c>
      <c r="F630" s="15" t="str">
        <f>IF(ISNA(VLOOKUP(C630,P:R,3,0)),"",VLOOKUP(C630,P:R,3,0))</f>
        <v/>
      </c>
      <c r="G630">
        <f>ROUND(IF(D630&gt;0,0,ABS(D630)),2)</f>
        <v>0</v>
      </c>
      <c r="H630">
        <f>ROUND(IF(D630&gt;0,D630,),2)</f>
        <v>0</v>
      </c>
      <c r="K630" s="7"/>
      <c r="L630" s="9"/>
      <c r="M630" s="9"/>
      <c r="N630" s="7"/>
      <c r="P630" s="18"/>
      <c r="Q630" s="2"/>
      <c r="R630" s="2"/>
      <c r="AF630" s="14"/>
    </row>
    <row r="631" spans="1:32" customFormat="1" x14ac:dyDescent="0.25">
      <c r="A631" s="9"/>
      <c r="C631" s="14"/>
      <c r="E631" t="str">
        <f>IF(ISNA(VLOOKUP(C631,P:Q,2,0)),"",VLOOKUP(C631,P:Q,2,0))</f>
        <v/>
      </c>
      <c r="F631" s="15" t="str">
        <f>IF(ISNA(VLOOKUP(C631,P:R,3,0)),"",VLOOKUP(C631,P:R,3,0))</f>
        <v/>
      </c>
      <c r="G631">
        <f>ROUND(IF(D631&gt;0,0,ABS(D631)),2)</f>
        <v>0</v>
      </c>
      <c r="H631">
        <f>ROUND(IF(D631&gt;0,D631,),2)</f>
        <v>0</v>
      </c>
      <c r="K631" s="7"/>
      <c r="L631" s="9"/>
      <c r="M631" s="9"/>
      <c r="N631" s="7"/>
      <c r="P631" s="18"/>
      <c r="Q631" s="2"/>
      <c r="R631" s="2"/>
      <c r="AF631" s="14"/>
    </row>
    <row r="632" spans="1:32" customFormat="1" x14ac:dyDescent="0.25">
      <c r="A632" s="9"/>
      <c r="C632" s="14"/>
      <c r="E632" t="str">
        <f>IF(ISNA(VLOOKUP(C632,P:Q,2,0)),"",VLOOKUP(C632,P:Q,2,0))</f>
        <v/>
      </c>
      <c r="F632" s="15" t="str">
        <f>IF(ISNA(VLOOKUP(C632,P:R,3,0)),"",VLOOKUP(C632,P:R,3,0))</f>
        <v/>
      </c>
      <c r="G632">
        <f>ROUND(IF(D632&gt;0,0,ABS(D632)),2)</f>
        <v>0</v>
      </c>
      <c r="H632">
        <f>ROUND(IF(D632&gt;0,D632,),2)</f>
        <v>0</v>
      </c>
      <c r="K632" s="7"/>
      <c r="L632" s="9"/>
      <c r="M632" s="9"/>
      <c r="N632" s="7"/>
      <c r="P632" s="18"/>
      <c r="Q632" s="2"/>
      <c r="R632" s="2"/>
      <c r="AF632" s="14"/>
    </row>
    <row r="633" spans="1:32" customFormat="1" x14ac:dyDescent="0.25">
      <c r="A633" s="9"/>
      <c r="C633" s="14"/>
      <c r="E633" t="str">
        <f>IF(ISNA(VLOOKUP(C633,P:Q,2,0)),"",VLOOKUP(C633,P:Q,2,0))</f>
        <v/>
      </c>
      <c r="F633" s="15" t="str">
        <f>IF(ISNA(VLOOKUP(C633,P:R,3,0)),"",VLOOKUP(C633,P:R,3,0))</f>
        <v/>
      </c>
      <c r="G633">
        <f>ROUND(IF(D633&gt;0,0,ABS(D633)),2)</f>
        <v>0</v>
      </c>
      <c r="H633">
        <f>ROUND(IF(D633&gt;0,D633,),2)</f>
        <v>0</v>
      </c>
      <c r="K633" s="7"/>
      <c r="L633" s="9"/>
      <c r="M633" s="9"/>
      <c r="N633" s="7"/>
      <c r="P633" s="18"/>
      <c r="Q633" s="2"/>
      <c r="R633" s="2"/>
      <c r="AF633" s="14"/>
    </row>
    <row r="634" spans="1:32" customFormat="1" x14ac:dyDescent="0.25">
      <c r="A634" s="9"/>
      <c r="C634" s="14"/>
      <c r="E634" t="str">
        <f>IF(ISNA(VLOOKUP(C634,P:Q,2,0)),"",VLOOKUP(C634,P:Q,2,0))</f>
        <v/>
      </c>
      <c r="F634" s="15" t="str">
        <f>IF(ISNA(VLOOKUP(C634,P:R,3,0)),"",VLOOKUP(C634,P:R,3,0))</f>
        <v/>
      </c>
      <c r="G634">
        <f>ROUND(IF(D634&gt;0,0,ABS(D634)),2)</f>
        <v>0</v>
      </c>
      <c r="H634">
        <f>ROUND(IF(D634&gt;0,D634,),2)</f>
        <v>0</v>
      </c>
      <c r="K634" s="7"/>
      <c r="L634" s="9"/>
      <c r="M634" s="9"/>
      <c r="N634" s="7"/>
      <c r="P634" s="18"/>
      <c r="Q634" s="2"/>
      <c r="R634" s="2"/>
      <c r="AF634" s="14"/>
    </row>
    <row r="635" spans="1:32" customFormat="1" x14ac:dyDescent="0.25">
      <c r="A635" s="9"/>
      <c r="C635" s="14"/>
      <c r="E635" t="str">
        <f>IF(ISNA(VLOOKUP(C635,P:Q,2,0)),"",VLOOKUP(C635,P:Q,2,0))</f>
        <v/>
      </c>
      <c r="F635" s="15" t="str">
        <f>IF(ISNA(VLOOKUP(C635,P:R,3,0)),"",VLOOKUP(C635,P:R,3,0))</f>
        <v/>
      </c>
      <c r="G635">
        <f>ROUND(IF(D635&gt;0,0,ABS(D635)),2)</f>
        <v>0</v>
      </c>
      <c r="H635">
        <f>ROUND(IF(D635&gt;0,D635,),2)</f>
        <v>0</v>
      </c>
      <c r="K635" s="7"/>
      <c r="L635" s="9"/>
      <c r="M635" s="9"/>
      <c r="N635" s="7"/>
      <c r="P635" s="18"/>
      <c r="Q635" s="2"/>
      <c r="R635" s="2"/>
      <c r="AF635" s="14"/>
    </row>
    <row r="636" spans="1:32" customFormat="1" x14ac:dyDescent="0.25">
      <c r="A636" s="9"/>
      <c r="C636" s="14"/>
      <c r="E636" t="str">
        <f>IF(ISNA(VLOOKUP(C636,P:Q,2,0)),"",VLOOKUP(C636,P:Q,2,0))</f>
        <v/>
      </c>
      <c r="F636" s="15" t="str">
        <f>IF(ISNA(VLOOKUP(C636,P:R,3,0)),"",VLOOKUP(C636,P:R,3,0))</f>
        <v/>
      </c>
      <c r="G636">
        <f>ROUND(IF(D636&gt;0,0,ABS(D636)),2)</f>
        <v>0</v>
      </c>
      <c r="H636">
        <f>ROUND(IF(D636&gt;0,D636,),2)</f>
        <v>0</v>
      </c>
      <c r="K636" s="7"/>
      <c r="L636" s="9"/>
      <c r="M636" s="9"/>
      <c r="N636" s="7"/>
      <c r="P636" s="18"/>
      <c r="Q636" s="2"/>
      <c r="R636" s="2"/>
      <c r="AF636" s="14"/>
    </row>
    <row r="637" spans="1:32" customFormat="1" x14ac:dyDescent="0.25">
      <c r="A637" s="9"/>
      <c r="C637" s="14"/>
      <c r="E637" t="str">
        <f>IF(ISNA(VLOOKUP(C637,P:Q,2,0)),"",VLOOKUP(C637,P:Q,2,0))</f>
        <v/>
      </c>
      <c r="F637" s="15" t="str">
        <f>IF(ISNA(VLOOKUP(C637,P:R,3,0)),"",VLOOKUP(C637,P:R,3,0))</f>
        <v/>
      </c>
      <c r="G637">
        <f>ROUND(IF(D637&gt;0,0,ABS(D637)),2)</f>
        <v>0</v>
      </c>
      <c r="H637">
        <f>ROUND(IF(D637&gt;0,D637,),2)</f>
        <v>0</v>
      </c>
      <c r="K637" s="7"/>
      <c r="L637" s="9"/>
      <c r="M637" s="9"/>
      <c r="N637" s="7"/>
      <c r="P637" s="18"/>
      <c r="Q637" s="2"/>
      <c r="R637" s="2"/>
      <c r="AF637" s="14"/>
    </row>
    <row r="638" spans="1:32" customFormat="1" x14ac:dyDescent="0.25">
      <c r="A638" s="9"/>
      <c r="C638" s="14"/>
      <c r="E638" t="str">
        <f>IF(ISNA(VLOOKUP(C638,P:Q,2,0)),"",VLOOKUP(C638,P:Q,2,0))</f>
        <v/>
      </c>
      <c r="F638" s="15" t="str">
        <f>IF(ISNA(VLOOKUP(C638,P:R,3,0)),"",VLOOKUP(C638,P:R,3,0))</f>
        <v/>
      </c>
      <c r="G638">
        <f>ROUND(IF(D638&gt;0,0,ABS(D638)),2)</f>
        <v>0</v>
      </c>
      <c r="H638">
        <f>ROUND(IF(D638&gt;0,D638,),2)</f>
        <v>0</v>
      </c>
      <c r="K638" s="7"/>
      <c r="L638" s="9"/>
      <c r="M638" s="9"/>
      <c r="N638" s="7"/>
      <c r="P638" s="18"/>
      <c r="Q638" s="2"/>
      <c r="R638" s="2"/>
      <c r="AF638" s="14"/>
    </row>
    <row r="639" spans="1:32" customFormat="1" x14ac:dyDescent="0.25">
      <c r="A639" s="9"/>
      <c r="C639" s="14"/>
      <c r="E639" t="str">
        <f>IF(ISNA(VLOOKUP(C639,P:Q,2,0)),"",VLOOKUP(C639,P:Q,2,0))</f>
        <v/>
      </c>
      <c r="F639" s="15" t="str">
        <f>IF(ISNA(VLOOKUP(C639,P:R,3,0)),"",VLOOKUP(C639,P:R,3,0))</f>
        <v/>
      </c>
      <c r="G639">
        <f>ROUND(IF(D639&gt;0,0,ABS(D639)),2)</f>
        <v>0</v>
      </c>
      <c r="H639">
        <f>ROUND(IF(D639&gt;0,D639,),2)</f>
        <v>0</v>
      </c>
      <c r="K639" s="7"/>
      <c r="L639" s="9"/>
      <c r="M639" s="9"/>
      <c r="N639" s="7"/>
      <c r="P639" s="18"/>
      <c r="Q639" s="2"/>
      <c r="R639" s="2"/>
      <c r="AF639" s="14"/>
    </row>
    <row r="640" spans="1:32" customFormat="1" x14ac:dyDescent="0.25">
      <c r="A640" s="9"/>
      <c r="C640" s="14"/>
      <c r="E640" t="str">
        <f>IF(ISNA(VLOOKUP(C640,P:Q,2,0)),"",VLOOKUP(C640,P:Q,2,0))</f>
        <v/>
      </c>
      <c r="F640" s="15" t="str">
        <f>IF(ISNA(VLOOKUP(C640,P:R,3,0)),"",VLOOKUP(C640,P:R,3,0))</f>
        <v/>
      </c>
      <c r="G640">
        <f>ROUND(IF(D640&gt;0,0,ABS(D640)),2)</f>
        <v>0</v>
      </c>
      <c r="H640">
        <f>ROUND(IF(D640&gt;0,D640,),2)</f>
        <v>0</v>
      </c>
      <c r="K640" s="7"/>
      <c r="L640" s="9"/>
      <c r="M640" s="9"/>
      <c r="N640" s="7"/>
      <c r="P640" s="18"/>
      <c r="Q640" s="2"/>
      <c r="R640" s="2"/>
      <c r="AF640" s="14"/>
    </row>
    <row r="641" spans="1:32" customFormat="1" x14ac:dyDescent="0.25">
      <c r="A641" s="9"/>
      <c r="C641" s="14"/>
      <c r="E641" t="str">
        <f>IF(ISNA(VLOOKUP(C641,P:Q,2,0)),"",VLOOKUP(C641,P:Q,2,0))</f>
        <v/>
      </c>
      <c r="F641" s="15" t="str">
        <f>IF(ISNA(VLOOKUP(C641,P:R,3,0)),"",VLOOKUP(C641,P:R,3,0))</f>
        <v/>
      </c>
      <c r="G641">
        <f>ROUND(IF(D641&gt;0,0,ABS(D641)),2)</f>
        <v>0</v>
      </c>
      <c r="H641">
        <f>ROUND(IF(D641&gt;0,D641,),2)</f>
        <v>0</v>
      </c>
      <c r="K641" s="7"/>
      <c r="L641" s="9"/>
      <c r="M641" s="9"/>
      <c r="N641" s="7"/>
      <c r="P641" s="18"/>
      <c r="Q641" s="2"/>
      <c r="R641" s="2"/>
      <c r="AF641" s="14"/>
    </row>
    <row r="642" spans="1:32" customFormat="1" x14ac:dyDescent="0.25">
      <c r="A642" s="9"/>
      <c r="C642" s="14"/>
      <c r="E642" t="str">
        <f>IF(ISNA(VLOOKUP(C642,P:Q,2,0)),"",VLOOKUP(C642,P:Q,2,0))</f>
        <v/>
      </c>
      <c r="F642" s="15" t="str">
        <f>IF(ISNA(VLOOKUP(C642,P:R,3,0)),"",VLOOKUP(C642,P:R,3,0))</f>
        <v/>
      </c>
      <c r="G642">
        <f>ROUND(IF(D642&gt;0,0,ABS(D642)),2)</f>
        <v>0</v>
      </c>
      <c r="H642">
        <f>ROUND(IF(D642&gt;0,D642,),2)</f>
        <v>0</v>
      </c>
      <c r="K642" s="7"/>
      <c r="L642" s="9"/>
      <c r="M642" s="9"/>
      <c r="N642" s="7"/>
      <c r="P642" s="18"/>
      <c r="Q642" s="2"/>
      <c r="R642" s="2"/>
      <c r="AF642" s="14"/>
    </row>
    <row r="643" spans="1:32" customFormat="1" x14ac:dyDescent="0.25">
      <c r="A643" s="9"/>
      <c r="C643" s="14"/>
      <c r="E643" t="str">
        <f>IF(ISNA(VLOOKUP(C643,P:Q,2,0)),"",VLOOKUP(C643,P:Q,2,0))</f>
        <v/>
      </c>
      <c r="F643" s="15" t="str">
        <f>IF(ISNA(VLOOKUP(C643,P:R,3,0)),"",VLOOKUP(C643,P:R,3,0))</f>
        <v/>
      </c>
      <c r="G643">
        <f>ROUND(IF(D643&gt;0,0,ABS(D643)),2)</f>
        <v>0</v>
      </c>
      <c r="H643">
        <f>ROUND(IF(D643&gt;0,D643,),2)</f>
        <v>0</v>
      </c>
      <c r="K643" s="7"/>
      <c r="L643" s="9"/>
      <c r="M643" s="9"/>
      <c r="N643" s="7"/>
      <c r="P643" s="18"/>
      <c r="Q643" s="2"/>
      <c r="R643" s="2"/>
      <c r="AF643" s="14"/>
    </row>
    <row r="644" spans="1:32" customFormat="1" x14ac:dyDescent="0.25">
      <c r="A644" s="9"/>
      <c r="C644" s="14"/>
      <c r="E644" t="str">
        <f>IF(ISNA(VLOOKUP(C644,P:Q,2,0)),"",VLOOKUP(C644,P:Q,2,0))</f>
        <v/>
      </c>
      <c r="F644" s="15" t="str">
        <f>IF(ISNA(VLOOKUP(C644,P:R,3,0)),"",VLOOKUP(C644,P:R,3,0))</f>
        <v/>
      </c>
      <c r="G644">
        <f>ROUND(IF(D644&gt;0,0,ABS(D644)),2)</f>
        <v>0</v>
      </c>
      <c r="H644">
        <f>ROUND(IF(D644&gt;0,D644,),2)</f>
        <v>0</v>
      </c>
      <c r="K644" s="7"/>
      <c r="L644" s="9"/>
      <c r="M644" s="9"/>
      <c r="N644" s="7"/>
      <c r="P644" s="18"/>
      <c r="Q644" s="2"/>
      <c r="R644" s="2"/>
      <c r="AF644" s="14"/>
    </row>
    <row r="645" spans="1:32" customFormat="1" x14ac:dyDescent="0.25">
      <c r="A645" s="9"/>
      <c r="C645" s="14"/>
      <c r="E645" t="str">
        <f>IF(ISNA(VLOOKUP(C645,P:Q,2,0)),"",VLOOKUP(C645,P:Q,2,0))</f>
        <v/>
      </c>
      <c r="F645" s="15" t="str">
        <f>IF(ISNA(VLOOKUP(C645,P:R,3,0)),"",VLOOKUP(C645,P:R,3,0))</f>
        <v/>
      </c>
      <c r="G645">
        <f>ROUND(IF(D645&gt;0,0,ABS(D645)),2)</f>
        <v>0</v>
      </c>
      <c r="H645">
        <f>ROUND(IF(D645&gt;0,D645,),2)</f>
        <v>0</v>
      </c>
      <c r="K645" s="7"/>
      <c r="L645" s="9"/>
      <c r="M645" s="9"/>
      <c r="N645" s="7"/>
      <c r="P645" s="18"/>
      <c r="Q645" s="2"/>
      <c r="R645" s="2"/>
      <c r="AF645" s="14"/>
    </row>
    <row r="646" spans="1:32" customFormat="1" x14ac:dyDescent="0.25">
      <c r="A646" s="9"/>
      <c r="C646" s="14"/>
      <c r="E646" t="str">
        <f>IF(ISNA(VLOOKUP(C646,P:Q,2,0)),"",VLOOKUP(C646,P:Q,2,0))</f>
        <v/>
      </c>
      <c r="F646" s="15" t="str">
        <f>IF(ISNA(VLOOKUP(C646,P:R,3,0)),"",VLOOKUP(C646,P:R,3,0))</f>
        <v/>
      </c>
      <c r="G646">
        <f>ROUND(IF(D646&gt;0,0,ABS(D646)),2)</f>
        <v>0</v>
      </c>
      <c r="H646">
        <f>ROUND(IF(D646&gt;0,D646,),2)</f>
        <v>0</v>
      </c>
      <c r="K646" s="7"/>
      <c r="L646" s="9"/>
      <c r="M646" s="9"/>
      <c r="N646" s="7"/>
      <c r="P646" s="18"/>
      <c r="Q646" s="2"/>
      <c r="R646" s="2"/>
      <c r="AF646" s="14"/>
    </row>
    <row r="647" spans="1:32" customFormat="1" x14ac:dyDescent="0.25">
      <c r="A647" s="9"/>
      <c r="C647" s="14"/>
      <c r="E647" t="str">
        <f>IF(ISNA(VLOOKUP(C647,P:Q,2,0)),"",VLOOKUP(C647,P:Q,2,0))</f>
        <v/>
      </c>
      <c r="F647" s="15" t="str">
        <f>IF(ISNA(VLOOKUP(C647,P:R,3,0)),"",VLOOKUP(C647,P:R,3,0))</f>
        <v/>
      </c>
      <c r="G647">
        <f>ROUND(IF(D647&gt;0,0,ABS(D647)),2)</f>
        <v>0</v>
      </c>
      <c r="H647">
        <f>ROUND(IF(D647&gt;0,D647,),2)</f>
        <v>0</v>
      </c>
      <c r="K647" s="7"/>
      <c r="L647" s="9"/>
      <c r="M647" s="9"/>
      <c r="N647" s="7"/>
      <c r="P647" s="18"/>
      <c r="Q647" s="2"/>
      <c r="R647" s="2"/>
      <c r="AF647" s="14"/>
    </row>
    <row r="648" spans="1:32" customFormat="1" x14ac:dyDescent="0.25">
      <c r="A648" s="9"/>
      <c r="C648" s="14"/>
      <c r="E648" t="str">
        <f>IF(ISNA(VLOOKUP(C648,P:Q,2,0)),"",VLOOKUP(C648,P:Q,2,0))</f>
        <v/>
      </c>
      <c r="F648" s="15" t="str">
        <f>IF(ISNA(VLOOKUP(C648,P:R,3,0)),"",VLOOKUP(C648,P:R,3,0))</f>
        <v/>
      </c>
      <c r="G648">
        <f>ROUND(IF(D648&gt;0,0,ABS(D648)),2)</f>
        <v>0</v>
      </c>
      <c r="H648">
        <f>ROUND(IF(D648&gt;0,D648,),2)</f>
        <v>0</v>
      </c>
      <c r="K648" s="7"/>
      <c r="L648" s="9"/>
      <c r="M648" s="9"/>
      <c r="N648" s="7"/>
      <c r="P648" s="18"/>
      <c r="Q648" s="2"/>
      <c r="R648" s="2"/>
      <c r="AF648" s="14"/>
    </row>
    <row r="649" spans="1:32" customFormat="1" x14ac:dyDescent="0.25">
      <c r="A649" s="9"/>
      <c r="C649" s="14"/>
      <c r="E649" t="str">
        <f>IF(ISNA(VLOOKUP(C649,P:Q,2,0)),"",VLOOKUP(C649,P:Q,2,0))</f>
        <v/>
      </c>
      <c r="F649" s="15" t="str">
        <f>IF(ISNA(VLOOKUP(C649,P:R,3,0)),"",VLOOKUP(C649,P:R,3,0))</f>
        <v/>
      </c>
      <c r="G649">
        <f>ROUND(IF(D649&gt;0,0,ABS(D649)),2)</f>
        <v>0</v>
      </c>
      <c r="H649">
        <f>ROUND(IF(D649&gt;0,D649,),2)</f>
        <v>0</v>
      </c>
      <c r="K649" s="7"/>
      <c r="L649" s="9"/>
      <c r="M649" s="9"/>
      <c r="N649" s="7"/>
      <c r="P649" s="18"/>
      <c r="Q649" s="2"/>
      <c r="R649" s="2"/>
      <c r="AF649" s="14"/>
    </row>
    <row r="650" spans="1:32" customFormat="1" x14ac:dyDescent="0.25">
      <c r="A650" s="9"/>
      <c r="C650" s="14"/>
      <c r="E650" t="str">
        <f>IF(ISNA(VLOOKUP(C650,P:Q,2,0)),"",VLOOKUP(C650,P:Q,2,0))</f>
        <v/>
      </c>
      <c r="F650" s="15" t="str">
        <f>IF(ISNA(VLOOKUP(C650,P:R,3,0)),"",VLOOKUP(C650,P:R,3,0))</f>
        <v/>
      </c>
      <c r="G650">
        <f>ROUND(IF(D650&gt;0,0,ABS(D650)),2)</f>
        <v>0</v>
      </c>
      <c r="H650">
        <f>ROUND(IF(D650&gt;0,D650,),2)</f>
        <v>0</v>
      </c>
      <c r="K650" s="7"/>
      <c r="L650" s="9"/>
      <c r="M650" s="9"/>
      <c r="N650" s="7"/>
      <c r="P650" s="18"/>
      <c r="Q650" s="2"/>
      <c r="R650" s="2"/>
      <c r="AF650" s="14"/>
    </row>
    <row r="651" spans="1:32" customFormat="1" x14ac:dyDescent="0.25">
      <c r="A651" s="9"/>
      <c r="C651" s="14"/>
      <c r="E651" t="str">
        <f>IF(ISNA(VLOOKUP(C651,P:Q,2,0)),"",VLOOKUP(C651,P:Q,2,0))</f>
        <v/>
      </c>
      <c r="F651" s="15" t="str">
        <f>IF(ISNA(VLOOKUP(C651,P:R,3,0)),"",VLOOKUP(C651,P:R,3,0))</f>
        <v/>
      </c>
      <c r="G651">
        <f>ROUND(IF(D651&gt;0,0,ABS(D651)),2)</f>
        <v>0</v>
      </c>
      <c r="H651">
        <f>ROUND(IF(D651&gt;0,D651,),2)</f>
        <v>0</v>
      </c>
      <c r="K651" s="7"/>
      <c r="L651" s="9"/>
      <c r="M651" s="9"/>
      <c r="N651" s="7"/>
      <c r="P651" s="18"/>
      <c r="Q651" s="2"/>
      <c r="R651" s="2"/>
      <c r="AF651" s="14"/>
    </row>
    <row r="652" spans="1:32" customFormat="1" x14ac:dyDescent="0.25">
      <c r="A652" s="9"/>
      <c r="C652" s="14"/>
      <c r="E652" t="str">
        <f>IF(ISNA(VLOOKUP(C652,P:Q,2,0)),"",VLOOKUP(C652,P:Q,2,0))</f>
        <v/>
      </c>
      <c r="F652" s="15" t="str">
        <f>IF(ISNA(VLOOKUP(C652,P:R,3,0)),"",VLOOKUP(C652,P:R,3,0))</f>
        <v/>
      </c>
      <c r="G652">
        <f>ROUND(IF(D652&gt;0,0,ABS(D652)),2)</f>
        <v>0</v>
      </c>
      <c r="H652">
        <f>ROUND(IF(D652&gt;0,D652,),2)</f>
        <v>0</v>
      </c>
      <c r="K652" s="7"/>
      <c r="L652" s="9"/>
      <c r="M652" s="9"/>
      <c r="N652" s="7"/>
      <c r="P652" s="18"/>
      <c r="Q652" s="2"/>
      <c r="R652" s="2"/>
      <c r="AF652" s="14"/>
    </row>
    <row r="653" spans="1:32" customFormat="1" x14ac:dyDescent="0.25">
      <c r="A653" s="9"/>
      <c r="C653" s="14"/>
      <c r="E653" t="str">
        <f>IF(ISNA(VLOOKUP(C653,P:Q,2,0)),"",VLOOKUP(C653,P:Q,2,0))</f>
        <v/>
      </c>
      <c r="F653" s="15" t="str">
        <f>IF(ISNA(VLOOKUP(C653,P:R,3,0)),"",VLOOKUP(C653,P:R,3,0))</f>
        <v/>
      </c>
      <c r="G653">
        <f>ROUND(IF(D653&gt;0,0,ABS(D653)),2)</f>
        <v>0</v>
      </c>
      <c r="H653">
        <f>ROUND(IF(D653&gt;0,D653,),2)</f>
        <v>0</v>
      </c>
      <c r="K653" s="7"/>
      <c r="L653" s="9"/>
      <c r="M653" s="9"/>
      <c r="N653" s="7"/>
      <c r="P653" s="18"/>
      <c r="Q653" s="2"/>
      <c r="R653" s="2"/>
      <c r="AF653" s="14"/>
    </row>
    <row r="654" spans="1:32" customFormat="1" x14ac:dyDescent="0.25">
      <c r="A654" s="9"/>
      <c r="C654" s="14"/>
      <c r="E654" t="str">
        <f>IF(ISNA(VLOOKUP(C654,P:Q,2,0)),"",VLOOKUP(C654,P:Q,2,0))</f>
        <v/>
      </c>
      <c r="F654" s="15" t="str">
        <f>IF(ISNA(VLOOKUP(C654,P:R,3,0)),"",VLOOKUP(C654,P:R,3,0))</f>
        <v/>
      </c>
      <c r="G654">
        <f>ROUND(IF(D654&gt;0,0,ABS(D654)),2)</f>
        <v>0</v>
      </c>
      <c r="H654">
        <f>ROUND(IF(D654&gt;0,D654,),2)</f>
        <v>0</v>
      </c>
      <c r="K654" s="7"/>
      <c r="L654" s="9"/>
      <c r="M654" s="9"/>
      <c r="N654" s="7"/>
      <c r="P654" s="18"/>
      <c r="Q654" s="2"/>
      <c r="R654" s="2"/>
      <c r="AF654" s="14"/>
    </row>
    <row r="655" spans="1:32" customFormat="1" x14ac:dyDescent="0.25">
      <c r="A655" s="9"/>
      <c r="C655" s="14"/>
      <c r="E655" t="str">
        <f>IF(ISNA(VLOOKUP(C655,P:Q,2,0)),"",VLOOKUP(C655,P:Q,2,0))</f>
        <v/>
      </c>
      <c r="F655" s="15" t="str">
        <f>IF(ISNA(VLOOKUP(C655,P:R,3,0)),"",VLOOKUP(C655,P:R,3,0))</f>
        <v/>
      </c>
      <c r="G655">
        <f>ROUND(IF(D655&gt;0,0,ABS(D655)),2)</f>
        <v>0</v>
      </c>
      <c r="H655">
        <f>ROUND(IF(D655&gt;0,D655,),2)</f>
        <v>0</v>
      </c>
      <c r="K655" s="7"/>
      <c r="L655" s="9"/>
      <c r="M655" s="9"/>
      <c r="N655" s="7"/>
      <c r="P655" s="18"/>
      <c r="Q655" s="2"/>
      <c r="R655" s="2"/>
      <c r="AF655" s="14"/>
    </row>
    <row r="656" spans="1:32" customFormat="1" x14ac:dyDescent="0.25">
      <c r="A656" s="9"/>
      <c r="C656" s="14"/>
      <c r="E656" t="str">
        <f>IF(ISNA(VLOOKUP(C656,P:Q,2,0)),"",VLOOKUP(C656,P:Q,2,0))</f>
        <v/>
      </c>
      <c r="F656" s="15" t="str">
        <f>IF(ISNA(VLOOKUP(C656,P:R,3,0)),"",VLOOKUP(C656,P:R,3,0))</f>
        <v/>
      </c>
      <c r="G656">
        <f>ROUND(IF(D656&gt;0,0,ABS(D656)),2)</f>
        <v>0</v>
      </c>
      <c r="H656">
        <f>ROUND(IF(D656&gt;0,D656,),2)</f>
        <v>0</v>
      </c>
      <c r="K656" s="7"/>
      <c r="L656" s="9"/>
      <c r="M656" s="9"/>
      <c r="N656" s="7"/>
      <c r="P656" s="18"/>
      <c r="Q656" s="2"/>
      <c r="R656" s="2"/>
      <c r="AF656" s="14"/>
    </row>
    <row r="657" spans="1:32" customFormat="1" x14ac:dyDescent="0.25">
      <c r="A657" s="9"/>
      <c r="C657" s="14"/>
      <c r="E657" t="str">
        <f>IF(ISNA(VLOOKUP(C657,P:Q,2,0)),"",VLOOKUP(C657,P:Q,2,0))</f>
        <v/>
      </c>
      <c r="F657" s="15" t="str">
        <f>IF(ISNA(VLOOKUP(C657,P:R,3,0)),"",VLOOKUP(C657,P:R,3,0))</f>
        <v/>
      </c>
      <c r="G657">
        <f>ROUND(IF(D657&gt;0,0,ABS(D657)),2)</f>
        <v>0</v>
      </c>
      <c r="H657">
        <f>ROUND(IF(D657&gt;0,D657,),2)</f>
        <v>0</v>
      </c>
      <c r="K657" s="7"/>
      <c r="L657" s="9"/>
      <c r="M657" s="9"/>
      <c r="N657" s="7"/>
      <c r="P657" s="18"/>
      <c r="Q657" s="2"/>
      <c r="R657" s="2"/>
      <c r="AF657" s="14"/>
    </row>
    <row r="658" spans="1:32" customFormat="1" x14ac:dyDescent="0.25">
      <c r="A658" s="9"/>
      <c r="C658" s="14"/>
      <c r="E658" t="str">
        <f>IF(ISNA(VLOOKUP(C658,P:Q,2,0)),"",VLOOKUP(C658,P:Q,2,0))</f>
        <v/>
      </c>
      <c r="F658" s="15" t="str">
        <f>IF(ISNA(VLOOKUP(C658,P:R,3,0)),"",VLOOKUP(C658,P:R,3,0))</f>
        <v/>
      </c>
      <c r="G658">
        <f>ROUND(IF(D658&gt;0,0,ABS(D658)),2)</f>
        <v>0</v>
      </c>
      <c r="H658">
        <f>ROUND(IF(D658&gt;0,D658,),2)</f>
        <v>0</v>
      </c>
      <c r="K658" s="7"/>
      <c r="L658" s="9"/>
      <c r="M658" s="9"/>
      <c r="N658" s="7"/>
      <c r="P658" s="18"/>
      <c r="Q658" s="2"/>
      <c r="R658" s="2"/>
      <c r="AF658" s="14"/>
    </row>
    <row r="659" spans="1:32" customFormat="1" x14ac:dyDescent="0.25">
      <c r="A659" s="9"/>
      <c r="C659" s="14"/>
      <c r="E659" t="str">
        <f>IF(ISNA(VLOOKUP(C659,P:Q,2,0)),"",VLOOKUP(C659,P:Q,2,0))</f>
        <v/>
      </c>
      <c r="F659" s="15" t="str">
        <f>IF(ISNA(VLOOKUP(C659,P:R,3,0)),"",VLOOKUP(C659,P:R,3,0))</f>
        <v/>
      </c>
      <c r="G659">
        <f>ROUND(IF(D659&gt;0,0,ABS(D659)),2)</f>
        <v>0</v>
      </c>
      <c r="H659">
        <f>ROUND(IF(D659&gt;0,D659,),2)</f>
        <v>0</v>
      </c>
      <c r="K659" s="7"/>
      <c r="L659" s="9"/>
      <c r="M659" s="9"/>
      <c r="N659" s="7"/>
      <c r="P659" s="18"/>
      <c r="Q659" s="2"/>
      <c r="R659" s="2"/>
      <c r="AF659" s="14"/>
    </row>
    <row r="660" spans="1:32" customFormat="1" x14ac:dyDescent="0.25">
      <c r="A660" s="9"/>
      <c r="C660" s="14"/>
      <c r="E660" t="str">
        <f>IF(ISNA(VLOOKUP(C660,P:Q,2,0)),"",VLOOKUP(C660,P:Q,2,0))</f>
        <v/>
      </c>
      <c r="F660" s="15" t="str">
        <f>IF(ISNA(VLOOKUP(C660,P:R,3,0)),"",VLOOKUP(C660,P:R,3,0))</f>
        <v/>
      </c>
      <c r="G660">
        <f>ROUND(IF(D660&gt;0,0,ABS(D660)),2)</f>
        <v>0</v>
      </c>
      <c r="H660">
        <f>ROUND(IF(D660&gt;0,D660,),2)</f>
        <v>0</v>
      </c>
      <c r="K660" s="7"/>
      <c r="L660" s="9"/>
      <c r="M660" s="9"/>
      <c r="N660" s="7"/>
      <c r="P660" s="18"/>
      <c r="Q660" s="2"/>
      <c r="R660" s="2"/>
      <c r="AF660" s="14"/>
    </row>
    <row r="661" spans="1:32" customFormat="1" x14ac:dyDescent="0.25">
      <c r="A661" s="9"/>
      <c r="C661" s="14"/>
      <c r="E661" t="str">
        <f>IF(ISNA(VLOOKUP(C661,P:Q,2,0)),"",VLOOKUP(C661,P:Q,2,0))</f>
        <v/>
      </c>
      <c r="F661" s="15" t="str">
        <f>IF(ISNA(VLOOKUP(C661,P:R,3,0)),"",VLOOKUP(C661,P:R,3,0))</f>
        <v/>
      </c>
      <c r="G661">
        <f>ROUND(IF(D661&gt;0,0,ABS(D661)),2)</f>
        <v>0</v>
      </c>
      <c r="H661">
        <f>ROUND(IF(D661&gt;0,D661,),2)</f>
        <v>0</v>
      </c>
      <c r="K661" s="7"/>
      <c r="L661" s="9"/>
      <c r="M661" s="9"/>
      <c r="N661" s="7"/>
      <c r="P661" s="18"/>
      <c r="Q661" s="2"/>
      <c r="R661" s="2"/>
      <c r="AF661" s="14"/>
    </row>
    <row r="662" spans="1:32" customFormat="1" x14ac:dyDescent="0.25">
      <c r="A662" s="9"/>
      <c r="C662" s="14"/>
      <c r="E662" t="str">
        <f>IF(ISNA(VLOOKUP(C662,P:Q,2,0)),"",VLOOKUP(C662,P:Q,2,0))</f>
        <v/>
      </c>
      <c r="F662" s="15" t="str">
        <f>IF(ISNA(VLOOKUP(C662,P:R,3,0)),"",VLOOKUP(C662,P:R,3,0))</f>
        <v/>
      </c>
      <c r="G662">
        <f>ROUND(IF(D662&gt;0,0,ABS(D662)),2)</f>
        <v>0</v>
      </c>
      <c r="H662">
        <f>ROUND(IF(D662&gt;0,D662,),2)</f>
        <v>0</v>
      </c>
      <c r="K662" s="7"/>
      <c r="L662" s="9"/>
      <c r="M662" s="9"/>
      <c r="N662" s="7"/>
      <c r="P662" s="18"/>
      <c r="Q662" s="2"/>
      <c r="R662" s="2"/>
      <c r="AF662" s="14"/>
    </row>
    <row r="663" spans="1:32" customFormat="1" x14ac:dyDescent="0.25">
      <c r="A663" s="9"/>
      <c r="C663" s="14"/>
      <c r="E663" t="str">
        <f>IF(ISNA(VLOOKUP(C663,P:Q,2,0)),"",VLOOKUP(C663,P:Q,2,0))</f>
        <v/>
      </c>
      <c r="F663" s="15" t="str">
        <f>IF(ISNA(VLOOKUP(C663,P:R,3,0)),"",VLOOKUP(C663,P:R,3,0))</f>
        <v/>
      </c>
      <c r="G663">
        <f>ROUND(IF(D663&gt;0,0,ABS(D663)),2)</f>
        <v>0</v>
      </c>
      <c r="H663">
        <f>ROUND(IF(D663&gt;0,D663,),2)</f>
        <v>0</v>
      </c>
      <c r="K663" s="7"/>
      <c r="L663" s="9"/>
      <c r="M663" s="9"/>
      <c r="N663" s="7"/>
      <c r="P663" s="18"/>
      <c r="Q663" s="2"/>
      <c r="R663" s="2"/>
      <c r="AF663" s="14"/>
    </row>
    <row r="664" spans="1:32" customFormat="1" x14ac:dyDescent="0.25">
      <c r="A664" s="9"/>
      <c r="C664" s="14"/>
      <c r="E664" t="str">
        <f>IF(ISNA(VLOOKUP(C664,P:Q,2,0)),"",VLOOKUP(C664,P:Q,2,0))</f>
        <v/>
      </c>
      <c r="F664" s="15" t="str">
        <f>IF(ISNA(VLOOKUP(C664,P:R,3,0)),"",VLOOKUP(C664,P:R,3,0))</f>
        <v/>
      </c>
      <c r="G664">
        <f>ROUND(IF(D664&gt;0,0,ABS(D664)),2)</f>
        <v>0</v>
      </c>
      <c r="H664">
        <f>ROUND(IF(D664&gt;0,D664,),2)</f>
        <v>0</v>
      </c>
      <c r="K664" s="7"/>
      <c r="L664" s="9"/>
      <c r="M664" s="9"/>
      <c r="N664" s="7"/>
      <c r="P664" s="18"/>
      <c r="Q664" s="2"/>
      <c r="R664" s="2"/>
      <c r="AF664" s="14"/>
    </row>
    <row r="665" spans="1:32" customFormat="1" x14ac:dyDescent="0.25">
      <c r="A665" s="9"/>
      <c r="C665" s="14"/>
      <c r="E665" t="str">
        <f>IF(ISNA(VLOOKUP(C665,P:Q,2,0)),"",VLOOKUP(C665,P:Q,2,0))</f>
        <v/>
      </c>
      <c r="F665" s="15" t="str">
        <f>IF(ISNA(VLOOKUP(C665,P:R,3,0)),"",VLOOKUP(C665,P:R,3,0))</f>
        <v/>
      </c>
      <c r="G665">
        <f>ROUND(IF(D665&gt;0,0,ABS(D665)),2)</f>
        <v>0</v>
      </c>
      <c r="H665">
        <f>ROUND(IF(D665&gt;0,D665,),2)</f>
        <v>0</v>
      </c>
      <c r="K665" s="7"/>
      <c r="L665" s="9"/>
      <c r="M665" s="9"/>
      <c r="N665" s="7"/>
      <c r="P665" s="18"/>
      <c r="Q665" s="2"/>
      <c r="R665" s="2"/>
      <c r="AF665" s="14"/>
    </row>
    <row r="666" spans="1:32" customFormat="1" x14ac:dyDescent="0.25">
      <c r="A666" s="9"/>
      <c r="C666" s="14"/>
      <c r="E666" t="str">
        <f>IF(ISNA(VLOOKUP(C666,P:Q,2,0)),"",VLOOKUP(C666,P:Q,2,0))</f>
        <v/>
      </c>
      <c r="F666" s="15" t="str">
        <f>IF(ISNA(VLOOKUP(C666,P:R,3,0)),"",VLOOKUP(C666,P:R,3,0))</f>
        <v/>
      </c>
      <c r="G666">
        <f>ROUND(IF(D666&gt;0,0,ABS(D666)),2)</f>
        <v>0</v>
      </c>
      <c r="H666">
        <f>ROUND(IF(D666&gt;0,D666,),2)</f>
        <v>0</v>
      </c>
      <c r="K666" s="7"/>
      <c r="L666" s="9"/>
      <c r="M666" s="9"/>
      <c r="N666" s="7"/>
      <c r="P666" s="18"/>
      <c r="Q666" s="2"/>
      <c r="R666" s="2"/>
      <c r="AF666" s="14"/>
    </row>
    <row r="667" spans="1:32" customFormat="1" x14ac:dyDescent="0.25">
      <c r="A667" s="9"/>
      <c r="C667" s="14"/>
      <c r="E667" t="str">
        <f>IF(ISNA(VLOOKUP(C667,P:Q,2,0)),"",VLOOKUP(C667,P:Q,2,0))</f>
        <v/>
      </c>
      <c r="F667" s="15" t="str">
        <f>IF(ISNA(VLOOKUP(C667,P:R,3,0)),"",VLOOKUP(C667,P:R,3,0))</f>
        <v/>
      </c>
      <c r="G667">
        <f>ROUND(IF(D667&gt;0,0,ABS(D667)),2)</f>
        <v>0</v>
      </c>
      <c r="H667">
        <f>ROUND(IF(D667&gt;0,D667,),2)</f>
        <v>0</v>
      </c>
      <c r="K667" s="7"/>
      <c r="L667" s="9"/>
      <c r="M667" s="9"/>
      <c r="N667" s="7"/>
      <c r="P667" s="18"/>
      <c r="Q667" s="2"/>
      <c r="R667" s="2"/>
      <c r="AF667" s="14"/>
    </row>
    <row r="668" spans="1:32" customFormat="1" x14ac:dyDescent="0.25">
      <c r="A668" s="9"/>
      <c r="C668" s="14"/>
      <c r="E668" t="str">
        <f>IF(ISNA(VLOOKUP(C668,P:Q,2,0)),"",VLOOKUP(C668,P:Q,2,0))</f>
        <v/>
      </c>
      <c r="F668" s="15" t="str">
        <f>IF(ISNA(VLOOKUP(C668,P:R,3,0)),"",VLOOKUP(C668,P:R,3,0))</f>
        <v/>
      </c>
      <c r="G668">
        <f>ROUND(IF(D668&gt;0,0,ABS(D668)),2)</f>
        <v>0</v>
      </c>
      <c r="H668">
        <f>ROUND(IF(D668&gt;0,D668,),2)</f>
        <v>0</v>
      </c>
      <c r="K668" s="7"/>
      <c r="L668" s="9"/>
      <c r="M668" s="9"/>
      <c r="N668" s="7"/>
      <c r="P668" s="18"/>
      <c r="Q668" s="2"/>
      <c r="R668" s="2"/>
      <c r="AF668" s="14"/>
    </row>
    <row r="669" spans="1:32" customFormat="1" x14ac:dyDescent="0.25">
      <c r="A669" s="9"/>
      <c r="C669" s="14"/>
      <c r="E669" t="str">
        <f>IF(ISNA(VLOOKUP(C669,P:Q,2,0)),"",VLOOKUP(C669,P:Q,2,0))</f>
        <v/>
      </c>
      <c r="F669" s="15" t="str">
        <f>IF(ISNA(VLOOKUP(C669,P:R,3,0)),"",VLOOKUP(C669,P:R,3,0))</f>
        <v/>
      </c>
      <c r="G669">
        <f>ROUND(IF(D669&gt;0,0,ABS(D669)),2)</f>
        <v>0</v>
      </c>
      <c r="H669">
        <f>ROUND(IF(D669&gt;0,D669,),2)</f>
        <v>0</v>
      </c>
      <c r="K669" s="7"/>
      <c r="L669" s="9"/>
      <c r="M669" s="9"/>
      <c r="N669" s="7"/>
      <c r="P669" s="18"/>
      <c r="Q669" s="2"/>
      <c r="R669" s="2"/>
      <c r="AF669" s="14"/>
    </row>
    <row r="670" spans="1:32" customFormat="1" x14ac:dyDescent="0.25">
      <c r="A670" s="9"/>
      <c r="C670" s="14"/>
      <c r="E670" t="str">
        <f>IF(ISNA(VLOOKUP(C670,P:Q,2,0)),"",VLOOKUP(C670,P:Q,2,0))</f>
        <v/>
      </c>
      <c r="F670" s="15" t="str">
        <f>IF(ISNA(VLOOKUP(C670,P:R,3,0)),"",VLOOKUP(C670,P:R,3,0))</f>
        <v/>
      </c>
      <c r="G670">
        <f>ROUND(IF(D670&gt;0,0,ABS(D670)),2)</f>
        <v>0</v>
      </c>
      <c r="H670">
        <f>ROUND(IF(D670&gt;0,D670,),2)</f>
        <v>0</v>
      </c>
      <c r="K670" s="7"/>
      <c r="L670" s="9"/>
      <c r="M670" s="9"/>
      <c r="N670" s="7"/>
      <c r="P670" s="18"/>
      <c r="Q670" s="2"/>
      <c r="R670" s="2"/>
      <c r="AF670" s="14"/>
    </row>
    <row r="671" spans="1:32" customFormat="1" x14ac:dyDescent="0.25">
      <c r="A671" s="9"/>
      <c r="C671" s="14"/>
      <c r="E671" t="str">
        <f>IF(ISNA(VLOOKUP(C671,P:Q,2,0)),"",VLOOKUP(C671,P:Q,2,0))</f>
        <v/>
      </c>
      <c r="F671" s="15" t="str">
        <f>IF(ISNA(VLOOKUP(C671,P:R,3,0)),"",VLOOKUP(C671,P:R,3,0))</f>
        <v/>
      </c>
      <c r="G671">
        <f>ROUND(IF(D671&gt;0,0,ABS(D671)),2)</f>
        <v>0</v>
      </c>
      <c r="H671">
        <f>ROUND(IF(D671&gt;0,D671,),2)</f>
        <v>0</v>
      </c>
      <c r="K671" s="7"/>
      <c r="L671" s="9"/>
      <c r="M671" s="9"/>
      <c r="N671" s="7"/>
      <c r="P671" s="18"/>
      <c r="Q671" s="2"/>
      <c r="R671" s="2"/>
      <c r="AF671" s="14"/>
    </row>
    <row r="672" spans="1:32" customFormat="1" x14ac:dyDescent="0.25">
      <c r="A672" s="9"/>
      <c r="C672" s="14"/>
      <c r="E672" t="str">
        <f>IF(ISNA(VLOOKUP(C672,P:Q,2,0)),"",VLOOKUP(C672,P:Q,2,0))</f>
        <v/>
      </c>
      <c r="F672" s="15" t="str">
        <f>IF(ISNA(VLOOKUP(C672,P:R,3,0)),"",VLOOKUP(C672,P:R,3,0))</f>
        <v/>
      </c>
      <c r="G672">
        <f>ROUND(IF(D672&gt;0,0,ABS(D672)),2)</f>
        <v>0</v>
      </c>
      <c r="H672">
        <f>ROUND(IF(D672&gt;0,D672,),2)</f>
        <v>0</v>
      </c>
      <c r="K672" s="7"/>
      <c r="L672" s="9"/>
      <c r="M672" s="9"/>
      <c r="N672" s="7"/>
      <c r="P672" s="18"/>
      <c r="Q672" s="2"/>
      <c r="R672" s="2"/>
      <c r="AF672" s="14"/>
    </row>
    <row r="673" spans="1:32" customFormat="1" x14ac:dyDescent="0.25">
      <c r="A673" s="9"/>
      <c r="C673" s="14"/>
      <c r="E673" t="str">
        <f>IF(ISNA(VLOOKUP(C673,P:Q,2,0)),"",VLOOKUP(C673,P:Q,2,0))</f>
        <v/>
      </c>
      <c r="F673" s="15" t="str">
        <f>IF(ISNA(VLOOKUP(C673,P:R,3,0)),"",VLOOKUP(C673,P:R,3,0))</f>
        <v/>
      </c>
      <c r="G673">
        <f>ROUND(IF(D673&gt;0,0,ABS(D673)),2)</f>
        <v>0</v>
      </c>
      <c r="H673">
        <f>ROUND(IF(D673&gt;0,D673,),2)</f>
        <v>0</v>
      </c>
      <c r="K673" s="7"/>
      <c r="L673" s="9"/>
      <c r="M673" s="9"/>
      <c r="N673" s="7"/>
      <c r="P673" s="18"/>
      <c r="Q673" s="2"/>
      <c r="R673" s="2"/>
      <c r="AF673" s="14"/>
    </row>
    <row r="674" spans="1:32" customFormat="1" x14ac:dyDescent="0.25">
      <c r="A674" s="9"/>
      <c r="C674" s="14"/>
      <c r="E674" t="str">
        <f>IF(ISNA(VLOOKUP(C674,P:Q,2,0)),"",VLOOKUP(C674,P:Q,2,0))</f>
        <v/>
      </c>
      <c r="F674" s="15" t="str">
        <f>IF(ISNA(VLOOKUP(C674,P:R,3,0)),"",VLOOKUP(C674,P:R,3,0))</f>
        <v/>
      </c>
      <c r="G674">
        <f>ROUND(IF(D674&gt;0,0,ABS(D674)),2)</f>
        <v>0</v>
      </c>
      <c r="H674">
        <f>ROUND(IF(D674&gt;0,D674,),2)</f>
        <v>0</v>
      </c>
      <c r="K674" s="7"/>
      <c r="L674" s="9"/>
      <c r="M674" s="9"/>
      <c r="N674" s="7"/>
      <c r="P674" s="18"/>
      <c r="Q674" s="2"/>
      <c r="R674" s="2"/>
      <c r="AF674" s="14"/>
    </row>
    <row r="675" spans="1:32" customFormat="1" x14ac:dyDescent="0.25">
      <c r="A675" s="9"/>
      <c r="C675" s="14"/>
      <c r="E675" t="str">
        <f>IF(ISNA(VLOOKUP(C675,P:Q,2,0)),"",VLOOKUP(C675,P:Q,2,0))</f>
        <v/>
      </c>
      <c r="F675" s="15" t="str">
        <f>IF(ISNA(VLOOKUP(C675,P:R,3,0)),"",VLOOKUP(C675,P:R,3,0))</f>
        <v/>
      </c>
      <c r="G675">
        <f>ROUND(IF(D675&gt;0,0,ABS(D675)),2)</f>
        <v>0</v>
      </c>
      <c r="H675">
        <f>ROUND(IF(D675&gt;0,D675,),2)</f>
        <v>0</v>
      </c>
      <c r="K675" s="7"/>
      <c r="L675" s="9"/>
      <c r="M675" s="9"/>
      <c r="N675" s="7"/>
      <c r="P675" s="18"/>
      <c r="Q675" s="2"/>
      <c r="R675" s="2"/>
      <c r="AF675" s="14"/>
    </row>
    <row r="676" spans="1:32" customFormat="1" x14ac:dyDescent="0.25">
      <c r="A676" s="9"/>
      <c r="C676" s="14"/>
      <c r="E676" t="str">
        <f>IF(ISNA(VLOOKUP(C676,P:Q,2,0)),"",VLOOKUP(C676,P:Q,2,0))</f>
        <v/>
      </c>
      <c r="F676" s="15" t="str">
        <f>IF(ISNA(VLOOKUP(C676,P:R,3,0)),"",VLOOKUP(C676,P:R,3,0))</f>
        <v/>
      </c>
      <c r="G676">
        <f>ROUND(IF(D676&gt;0,0,ABS(D676)),2)</f>
        <v>0</v>
      </c>
      <c r="H676">
        <f>ROUND(IF(D676&gt;0,D676,),2)</f>
        <v>0</v>
      </c>
      <c r="K676" s="7"/>
      <c r="L676" s="9"/>
      <c r="M676" s="9"/>
      <c r="N676" s="7"/>
      <c r="P676" s="18"/>
      <c r="Q676" s="2"/>
      <c r="R676" s="2"/>
      <c r="AF676" s="14"/>
    </row>
    <row r="677" spans="1:32" customFormat="1" x14ac:dyDescent="0.25">
      <c r="A677" s="9"/>
      <c r="C677" s="14"/>
      <c r="E677" t="str">
        <f>IF(ISNA(VLOOKUP(C677,P:Q,2,0)),"",VLOOKUP(C677,P:Q,2,0))</f>
        <v/>
      </c>
      <c r="F677" s="15" t="str">
        <f>IF(ISNA(VLOOKUP(C677,P:R,3,0)),"",VLOOKUP(C677,P:R,3,0))</f>
        <v/>
      </c>
      <c r="G677">
        <f>ROUND(IF(D677&gt;0,0,ABS(D677)),2)</f>
        <v>0</v>
      </c>
      <c r="H677">
        <f>ROUND(IF(D677&gt;0,D677,),2)</f>
        <v>0</v>
      </c>
      <c r="K677" s="7"/>
      <c r="L677" s="9"/>
      <c r="M677" s="9"/>
      <c r="N677" s="7"/>
      <c r="P677" s="18"/>
      <c r="Q677" s="2"/>
      <c r="R677" s="2"/>
      <c r="AF677" s="14"/>
    </row>
    <row r="678" spans="1:32" customFormat="1" x14ac:dyDescent="0.25">
      <c r="A678" s="9"/>
      <c r="C678" s="14"/>
      <c r="E678" t="str">
        <f>IF(ISNA(VLOOKUP(C678,P:Q,2,0)),"",VLOOKUP(C678,P:Q,2,0))</f>
        <v/>
      </c>
      <c r="F678" s="15" t="str">
        <f>IF(ISNA(VLOOKUP(C678,P:R,3,0)),"",VLOOKUP(C678,P:R,3,0))</f>
        <v/>
      </c>
      <c r="G678">
        <f>ROUND(IF(D678&gt;0,0,ABS(D678)),2)</f>
        <v>0</v>
      </c>
      <c r="H678">
        <f>ROUND(IF(D678&gt;0,D678,),2)</f>
        <v>0</v>
      </c>
      <c r="K678" s="7"/>
      <c r="L678" s="9"/>
      <c r="M678" s="9"/>
      <c r="N678" s="7"/>
      <c r="P678" s="18"/>
      <c r="Q678" s="2"/>
      <c r="R678" s="2"/>
      <c r="AF678" s="14"/>
    </row>
    <row r="679" spans="1:32" customFormat="1" x14ac:dyDescent="0.25">
      <c r="A679" s="9"/>
      <c r="C679" s="14"/>
      <c r="E679" t="str">
        <f>IF(ISNA(VLOOKUP(C679,P:Q,2,0)),"",VLOOKUP(C679,P:Q,2,0))</f>
        <v/>
      </c>
      <c r="F679" s="15" t="str">
        <f>IF(ISNA(VLOOKUP(C679,P:R,3,0)),"",VLOOKUP(C679,P:R,3,0))</f>
        <v/>
      </c>
      <c r="G679">
        <f>ROUND(IF(D679&gt;0,0,ABS(D679)),2)</f>
        <v>0</v>
      </c>
      <c r="H679">
        <f>ROUND(IF(D679&gt;0,D679,),2)</f>
        <v>0</v>
      </c>
      <c r="K679" s="7"/>
      <c r="L679" s="9"/>
      <c r="M679" s="9"/>
      <c r="N679" s="7"/>
      <c r="P679" s="18"/>
      <c r="Q679" s="2"/>
      <c r="R679" s="2"/>
      <c r="AF679" s="14"/>
    </row>
    <row r="680" spans="1:32" customFormat="1" x14ac:dyDescent="0.25">
      <c r="A680" s="9"/>
      <c r="C680" s="14"/>
      <c r="E680" t="str">
        <f>IF(ISNA(VLOOKUP(C680,P:Q,2,0)),"",VLOOKUP(C680,P:Q,2,0))</f>
        <v/>
      </c>
      <c r="F680" s="15" t="str">
        <f>IF(ISNA(VLOOKUP(C680,P:R,3,0)),"",VLOOKUP(C680,P:R,3,0))</f>
        <v/>
      </c>
      <c r="G680">
        <f>ROUND(IF(D680&gt;0,0,ABS(D680)),2)</f>
        <v>0</v>
      </c>
      <c r="H680">
        <f>ROUND(IF(D680&gt;0,D680,),2)</f>
        <v>0</v>
      </c>
      <c r="K680" s="7"/>
      <c r="L680" s="9"/>
      <c r="M680" s="9"/>
      <c r="N680" s="7"/>
      <c r="P680" s="18"/>
      <c r="Q680" s="2"/>
      <c r="R680" s="2"/>
      <c r="AF680" s="14"/>
    </row>
    <row r="681" spans="1:32" customFormat="1" x14ac:dyDescent="0.25">
      <c r="A681" s="9"/>
      <c r="C681" s="14"/>
      <c r="E681" t="str">
        <f>IF(ISNA(VLOOKUP(C681,P:Q,2,0)),"",VLOOKUP(C681,P:Q,2,0))</f>
        <v/>
      </c>
      <c r="F681" s="15" t="str">
        <f>IF(ISNA(VLOOKUP(C681,P:R,3,0)),"",VLOOKUP(C681,P:R,3,0))</f>
        <v/>
      </c>
      <c r="G681">
        <f>ROUND(IF(D681&gt;0,0,ABS(D681)),2)</f>
        <v>0</v>
      </c>
      <c r="H681">
        <f>ROUND(IF(D681&gt;0,D681,),2)</f>
        <v>0</v>
      </c>
      <c r="K681" s="7"/>
      <c r="L681" s="9"/>
      <c r="M681" s="9"/>
      <c r="N681" s="7"/>
      <c r="P681" s="18"/>
      <c r="Q681" s="2"/>
      <c r="R681" s="2"/>
      <c r="AF681" s="14"/>
    </row>
    <row r="682" spans="1:32" customFormat="1" x14ac:dyDescent="0.25">
      <c r="A682" s="9"/>
      <c r="C682" s="14"/>
      <c r="E682" t="str">
        <f>IF(ISNA(VLOOKUP(C682,P:Q,2,0)),"",VLOOKUP(C682,P:Q,2,0))</f>
        <v/>
      </c>
      <c r="F682" s="15" t="str">
        <f>IF(ISNA(VLOOKUP(C682,P:R,3,0)),"",VLOOKUP(C682,P:R,3,0))</f>
        <v/>
      </c>
      <c r="G682">
        <f>ROUND(IF(D682&gt;0,0,ABS(D682)),2)</f>
        <v>0</v>
      </c>
      <c r="H682">
        <f>ROUND(IF(D682&gt;0,D682,),2)</f>
        <v>0</v>
      </c>
      <c r="K682" s="7"/>
      <c r="L682" s="9"/>
      <c r="M682" s="9"/>
      <c r="N682" s="7"/>
      <c r="P682" s="18"/>
      <c r="Q682" s="2"/>
      <c r="R682" s="2"/>
      <c r="AF682" s="14"/>
    </row>
    <row r="683" spans="1:32" customFormat="1" x14ac:dyDescent="0.25">
      <c r="A683" s="9"/>
      <c r="C683" s="14"/>
      <c r="E683" t="str">
        <f>IF(ISNA(VLOOKUP(C683,P:Q,2,0)),"",VLOOKUP(C683,P:Q,2,0))</f>
        <v/>
      </c>
      <c r="F683" s="15" t="str">
        <f>IF(ISNA(VLOOKUP(C683,P:R,3,0)),"",VLOOKUP(C683,P:R,3,0))</f>
        <v/>
      </c>
      <c r="G683">
        <f>ROUND(IF(D683&gt;0,0,ABS(D683)),2)</f>
        <v>0</v>
      </c>
      <c r="H683">
        <f>ROUND(IF(D683&gt;0,D683,),2)</f>
        <v>0</v>
      </c>
      <c r="K683" s="7"/>
      <c r="L683" s="9"/>
      <c r="M683" s="9"/>
      <c r="N683" s="7"/>
      <c r="P683" s="18"/>
      <c r="Q683" s="2"/>
      <c r="R683" s="2"/>
      <c r="AF683" s="14"/>
    </row>
    <row r="684" spans="1:32" customFormat="1" x14ac:dyDescent="0.25">
      <c r="A684" s="9"/>
      <c r="C684" s="14"/>
      <c r="E684" t="str">
        <f>IF(ISNA(VLOOKUP(C684,P:Q,2,0)),"",VLOOKUP(C684,P:Q,2,0))</f>
        <v/>
      </c>
      <c r="F684" s="15" t="str">
        <f>IF(ISNA(VLOOKUP(C684,P:R,3,0)),"",VLOOKUP(C684,P:R,3,0))</f>
        <v/>
      </c>
      <c r="G684">
        <f>ROUND(IF(D684&gt;0,0,ABS(D684)),2)</f>
        <v>0</v>
      </c>
      <c r="H684">
        <f>ROUND(IF(D684&gt;0,D684,),2)</f>
        <v>0</v>
      </c>
      <c r="K684" s="7"/>
      <c r="L684" s="9"/>
      <c r="M684" s="9"/>
      <c r="N684" s="7"/>
      <c r="P684" s="18"/>
      <c r="Q684" s="2"/>
      <c r="R684" s="2"/>
      <c r="AF684" s="14"/>
    </row>
    <row r="685" spans="1:32" customFormat="1" x14ac:dyDescent="0.25">
      <c r="A685" s="9"/>
      <c r="C685" s="14"/>
      <c r="E685" t="str">
        <f>IF(ISNA(VLOOKUP(C685,P:Q,2,0)),"",VLOOKUP(C685,P:Q,2,0))</f>
        <v/>
      </c>
      <c r="F685" s="15" t="str">
        <f>IF(ISNA(VLOOKUP(C685,P:R,3,0)),"",VLOOKUP(C685,P:R,3,0))</f>
        <v/>
      </c>
      <c r="G685">
        <f>ROUND(IF(D685&gt;0,0,ABS(D685)),2)</f>
        <v>0</v>
      </c>
      <c r="H685">
        <f>ROUND(IF(D685&gt;0,D685,),2)</f>
        <v>0</v>
      </c>
      <c r="K685" s="7"/>
      <c r="L685" s="9"/>
      <c r="M685" s="9"/>
      <c r="N685" s="7"/>
      <c r="P685" s="18"/>
      <c r="Q685" s="2"/>
      <c r="R685" s="2"/>
      <c r="AF685" s="14"/>
    </row>
    <row r="686" spans="1:32" customFormat="1" x14ac:dyDescent="0.25">
      <c r="A686" s="9"/>
      <c r="C686" s="14"/>
      <c r="E686" t="str">
        <f>IF(ISNA(VLOOKUP(C686,P:Q,2,0)),"",VLOOKUP(C686,P:Q,2,0))</f>
        <v/>
      </c>
      <c r="F686" s="15" t="str">
        <f>IF(ISNA(VLOOKUP(C686,P:R,3,0)),"",VLOOKUP(C686,P:R,3,0))</f>
        <v/>
      </c>
      <c r="G686">
        <f>ROUND(IF(D686&gt;0,0,ABS(D686)),2)</f>
        <v>0</v>
      </c>
      <c r="H686">
        <f>ROUND(IF(D686&gt;0,D686,),2)</f>
        <v>0</v>
      </c>
      <c r="K686" s="7"/>
      <c r="L686" s="9"/>
      <c r="M686" s="9"/>
      <c r="N686" s="7"/>
      <c r="P686" s="18"/>
      <c r="Q686" s="2"/>
      <c r="R686" s="2"/>
      <c r="AF686" s="14"/>
    </row>
    <row r="687" spans="1:32" customFormat="1" x14ac:dyDescent="0.25">
      <c r="A687" s="9"/>
      <c r="C687" s="14"/>
      <c r="E687" t="str">
        <f>IF(ISNA(VLOOKUP(C687,P:Q,2,0)),"",VLOOKUP(C687,P:Q,2,0))</f>
        <v/>
      </c>
      <c r="F687" s="15" t="str">
        <f>IF(ISNA(VLOOKUP(C687,P:R,3,0)),"",VLOOKUP(C687,P:R,3,0))</f>
        <v/>
      </c>
      <c r="G687">
        <f>ROUND(IF(D687&gt;0,0,ABS(D687)),2)</f>
        <v>0</v>
      </c>
      <c r="H687">
        <f>ROUND(IF(D687&gt;0,D687,),2)</f>
        <v>0</v>
      </c>
      <c r="K687" s="7"/>
      <c r="L687" s="9"/>
      <c r="M687" s="9"/>
      <c r="N687" s="7"/>
      <c r="P687" s="18"/>
      <c r="Q687" s="2"/>
      <c r="R687" s="2"/>
      <c r="AF687" s="14"/>
    </row>
    <row r="688" spans="1:32" customFormat="1" x14ac:dyDescent="0.25">
      <c r="A688" s="9"/>
      <c r="C688" s="14"/>
      <c r="E688" t="str">
        <f>IF(ISNA(VLOOKUP(C688,P:Q,2,0)),"",VLOOKUP(C688,P:Q,2,0))</f>
        <v/>
      </c>
      <c r="F688" s="15" t="str">
        <f>IF(ISNA(VLOOKUP(C688,P:R,3,0)),"",VLOOKUP(C688,P:R,3,0))</f>
        <v/>
      </c>
      <c r="G688">
        <f>ROUND(IF(D688&gt;0,0,ABS(D688)),2)</f>
        <v>0</v>
      </c>
      <c r="H688">
        <f>ROUND(IF(D688&gt;0,D688,),2)</f>
        <v>0</v>
      </c>
      <c r="K688" s="7"/>
      <c r="L688" s="9"/>
      <c r="M688" s="9"/>
      <c r="N688" s="7"/>
      <c r="P688" s="18"/>
      <c r="Q688" s="2"/>
      <c r="R688" s="2"/>
      <c r="AF688" s="14"/>
    </row>
    <row r="689" spans="1:32" customFormat="1" x14ac:dyDescent="0.25">
      <c r="A689" s="9"/>
      <c r="C689" s="14"/>
      <c r="E689" t="str">
        <f>IF(ISNA(VLOOKUP(C689,P:Q,2,0)),"",VLOOKUP(C689,P:Q,2,0))</f>
        <v/>
      </c>
      <c r="F689" s="15" t="str">
        <f>IF(ISNA(VLOOKUP(C689,P:R,3,0)),"",VLOOKUP(C689,P:R,3,0))</f>
        <v/>
      </c>
      <c r="G689">
        <f>ROUND(IF(D689&gt;0,0,ABS(D689)),2)</f>
        <v>0</v>
      </c>
      <c r="H689">
        <f>ROUND(IF(D689&gt;0,D689,),2)</f>
        <v>0</v>
      </c>
      <c r="K689" s="7"/>
      <c r="L689" s="9"/>
      <c r="M689" s="9"/>
      <c r="N689" s="7"/>
      <c r="P689" s="18"/>
      <c r="Q689" s="2"/>
      <c r="R689" s="2"/>
      <c r="AF689" s="14"/>
    </row>
    <row r="690" spans="1:32" customFormat="1" x14ac:dyDescent="0.25">
      <c r="A690" s="9"/>
      <c r="C690" s="14"/>
      <c r="E690" t="str">
        <f>IF(ISNA(VLOOKUP(C690,P:Q,2,0)),"",VLOOKUP(C690,P:Q,2,0))</f>
        <v/>
      </c>
      <c r="F690" s="15" t="str">
        <f>IF(ISNA(VLOOKUP(C690,P:R,3,0)),"",VLOOKUP(C690,P:R,3,0))</f>
        <v/>
      </c>
      <c r="G690">
        <f>ROUND(IF(D690&gt;0,0,ABS(D690)),2)</f>
        <v>0</v>
      </c>
      <c r="H690">
        <f>ROUND(IF(D690&gt;0,D690,),2)</f>
        <v>0</v>
      </c>
      <c r="K690" s="7"/>
      <c r="L690" s="9"/>
      <c r="M690" s="9"/>
      <c r="N690" s="7"/>
      <c r="P690" s="18"/>
      <c r="Q690" s="2"/>
      <c r="R690" s="2"/>
      <c r="AF690" s="14"/>
    </row>
    <row r="691" spans="1:32" customFormat="1" x14ac:dyDescent="0.25">
      <c r="A691" s="9"/>
      <c r="C691" s="14"/>
      <c r="E691" t="str">
        <f>IF(ISNA(VLOOKUP(C691,P:Q,2,0)),"",VLOOKUP(C691,P:Q,2,0))</f>
        <v/>
      </c>
      <c r="F691" s="15" t="str">
        <f>IF(ISNA(VLOOKUP(C691,P:R,3,0)),"",VLOOKUP(C691,P:R,3,0))</f>
        <v/>
      </c>
      <c r="G691">
        <f>ROUND(IF(D691&gt;0,0,ABS(D691)),2)</f>
        <v>0</v>
      </c>
      <c r="H691">
        <f>ROUND(IF(D691&gt;0,D691,),2)</f>
        <v>0</v>
      </c>
      <c r="K691" s="7"/>
      <c r="L691" s="9"/>
      <c r="M691" s="9"/>
      <c r="N691" s="7"/>
      <c r="P691" s="18"/>
      <c r="Q691" s="2"/>
      <c r="R691" s="2"/>
      <c r="AF691" s="14"/>
    </row>
    <row r="692" spans="1:32" customFormat="1" x14ac:dyDescent="0.25">
      <c r="A692" s="9"/>
      <c r="C692" s="14"/>
      <c r="E692" t="str">
        <f>IF(ISNA(VLOOKUP(C692,P:Q,2,0)),"",VLOOKUP(C692,P:Q,2,0))</f>
        <v/>
      </c>
      <c r="F692" s="15" t="str">
        <f>IF(ISNA(VLOOKUP(C692,P:R,3,0)),"",VLOOKUP(C692,P:R,3,0))</f>
        <v/>
      </c>
      <c r="G692">
        <f>ROUND(IF(D692&gt;0,0,ABS(D692)),2)</f>
        <v>0</v>
      </c>
      <c r="H692">
        <f>ROUND(IF(D692&gt;0,D692,),2)</f>
        <v>0</v>
      </c>
      <c r="K692" s="7"/>
      <c r="L692" s="9"/>
      <c r="M692" s="9"/>
      <c r="N692" s="7"/>
      <c r="P692" s="18"/>
      <c r="Q692" s="2"/>
      <c r="R692" s="2"/>
      <c r="AF692" s="14"/>
    </row>
    <row r="693" spans="1:32" customFormat="1" x14ac:dyDescent="0.25">
      <c r="A693" s="9"/>
      <c r="C693" s="14"/>
      <c r="E693" t="str">
        <f>IF(ISNA(VLOOKUP(C693,P:Q,2,0)),"",VLOOKUP(C693,P:Q,2,0))</f>
        <v/>
      </c>
      <c r="F693" s="15" t="str">
        <f>IF(ISNA(VLOOKUP(C693,P:R,3,0)),"",VLOOKUP(C693,P:R,3,0))</f>
        <v/>
      </c>
      <c r="G693">
        <f>ROUND(IF(D693&gt;0,0,ABS(D693)),2)</f>
        <v>0</v>
      </c>
      <c r="H693">
        <f>ROUND(IF(D693&gt;0,D693,),2)</f>
        <v>0</v>
      </c>
      <c r="K693" s="7"/>
      <c r="L693" s="9"/>
      <c r="M693" s="9"/>
      <c r="N693" s="7"/>
      <c r="P693" s="18"/>
      <c r="Q693" s="2"/>
      <c r="R693" s="2"/>
      <c r="AF693" s="14"/>
    </row>
    <row r="694" spans="1:32" customFormat="1" x14ac:dyDescent="0.25">
      <c r="A694" s="9"/>
      <c r="C694" s="14"/>
      <c r="E694" t="str">
        <f>IF(ISNA(VLOOKUP(C694,P:Q,2,0)),"",VLOOKUP(C694,P:Q,2,0))</f>
        <v/>
      </c>
      <c r="F694" s="15" t="str">
        <f>IF(ISNA(VLOOKUP(C694,P:R,3,0)),"",VLOOKUP(C694,P:R,3,0))</f>
        <v/>
      </c>
      <c r="G694">
        <f>ROUND(IF(D694&gt;0,0,ABS(D694)),2)</f>
        <v>0</v>
      </c>
      <c r="H694">
        <f>ROUND(IF(D694&gt;0,D694,),2)</f>
        <v>0</v>
      </c>
      <c r="K694" s="7"/>
      <c r="L694" s="9"/>
      <c r="M694" s="9"/>
      <c r="N694" s="7"/>
      <c r="P694" s="18"/>
      <c r="Q694" s="2"/>
      <c r="R694" s="2"/>
      <c r="AF694" s="14"/>
    </row>
    <row r="695" spans="1:32" customFormat="1" x14ac:dyDescent="0.25">
      <c r="A695" s="9"/>
      <c r="C695" s="14"/>
      <c r="E695" t="str">
        <f>IF(ISNA(VLOOKUP(C695,P:Q,2,0)),"",VLOOKUP(C695,P:Q,2,0))</f>
        <v/>
      </c>
      <c r="F695" s="15" t="str">
        <f>IF(ISNA(VLOOKUP(C695,P:R,3,0)),"",VLOOKUP(C695,P:R,3,0))</f>
        <v/>
      </c>
      <c r="G695">
        <f>ROUND(IF(D695&gt;0,0,ABS(D695)),2)</f>
        <v>0</v>
      </c>
      <c r="H695">
        <f>ROUND(IF(D695&gt;0,D695,),2)</f>
        <v>0</v>
      </c>
      <c r="K695" s="7"/>
      <c r="L695" s="9"/>
      <c r="M695" s="9"/>
      <c r="N695" s="7"/>
      <c r="P695" s="18"/>
      <c r="Q695" s="2"/>
      <c r="R695" s="2"/>
      <c r="AF695" s="14"/>
    </row>
    <row r="696" spans="1:32" customFormat="1" x14ac:dyDescent="0.25">
      <c r="A696" s="9"/>
      <c r="C696" s="14"/>
      <c r="E696" t="str">
        <f>IF(ISNA(VLOOKUP(C696,P:Q,2,0)),"",VLOOKUP(C696,P:Q,2,0))</f>
        <v/>
      </c>
      <c r="F696" s="15" t="str">
        <f>IF(ISNA(VLOOKUP(C696,P:R,3,0)),"",VLOOKUP(C696,P:R,3,0))</f>
        <v/>
      </c>
      <c r="G696">
        <f>ROUND(IF(D696&gt;0,0,ABS(D696)),2)</f>
        <v>0</v>
      </c>
      <c r="H696">
        <f>ROUND(IF(D696&gt;0,D696,),2)</f>
        <v>0</v>
      </c>
      <c r="K696" s="7"/>
      <c r="L696" s="9"/>
      <c r="M696" s="9"/>
      <c r="N696" s="7"/>
      <c r="P696" s="18"/>
      <c r="Q696" s="2"/>
      <c r="R696" s="2"/>
      <c r="AF696" s="14"/>
    </row>
    <row r="697" spans="1:32" customFormat="1" x14ac:dyDescent="0.25">
      <c r="A697" s="9"/>
      <c r="C697" s="14"/>
      <c r="E697" t="str">
        <f>IF(ISNA(VLOOKUP(C697,P:Q,2,0)),"",VLOOKUP(C697,P:Q,2,0))</f>
        <v/>
      </c>
      <c r="F697" s="15" t="str">
        <f>IF(ISNA(VLOOKUP(C697,P:R,3,0)),"",VLOOKUP(C697,P:R,3,0))</f>
        <v/>
      </c>
      <c r="G697">
        <f>ROUND(IF(D697&gt;0,0,ABS(D697)),2)</f>
        <v>0</v>
      </c>
      <c r="H697">
        <f>ROUND(IF(D697&gt;0,D697,),2)</f>
        <v>0</v>
      </c>
      <c r="K697" s="7"/>
      <c r="L697" s="9"/>
      <c r="M697" s="9"/>
      <c r="N697" s="7"/>
      <c r="P697" s="18"/>
      <c r="Q697" s="2"/>
      <c r="R697" s="2"/>
      <c r="AF697" s="14"/>
    </row>
    <row r="698" spans="1:32" customFormat="1" x14ac:dyDescent="0.25">
      <c r="A698" s="9"/>
      <c r="C698" s="14"/>
      <c r="E698" t="str">
        <f>IF(ISNA(VLOOKUP(C698,P:Q,2,0)),"",VLOOKUP(C698,P:Q,2,0))</f>
        <v/>
      </c>
      <c r="F698" s="15" t="str">
        <f>IF(ISNA(VLOOKUP(C698,P:R,3,0)),"",VLOOKUP(C698,P:R,3,0))</f>
        <v/>
      </c>
      <c r="G698">
        <f>ROUND(IF(D698&gt;0,0,ABS(D698)),2)</f>
        <v>0</v>
      </c>
      <c r="H698">
        <f>ROUND(IF(D698&gt;0,D698,),2)</f>
        <v>0</v>
      </c>
      <c r="K698" s="7"/>
      <c r="L698" s="9"/>
      <c r="M698" s="9"/>
      <c r="N698" s="7"/>
      <c r="P698" s="18"/>
      <c r="Q698" s="2"/>
      <c r="R698" s="2"/>
      <c r="AF698" s="14"/>
    </row>
    <row r="699" spans="1:32" customFormat="1" x14ac:dyDescent="0.25">
      <c r="A699" s="9"/>
      <c r="C699" s="14"/>
      <c r="E699" t="str">
        <f>IF(ISNA(VLOOKUP(C699,P:Q,2,0)),"",VLOOKUP(C699,P:Q,2,0))</f>
        <v/>
      </c>
      <c r="F699" s="15" t="str">
        <f>IF(ISNA(VLOOKUP(C699,P:R,3,0)),"",VLOOKUP(C699,P:R,3,0))</f>
        <v/>
      </c>
      <c r="G699">
        <f>ROUND(IF(D699&gt;0,0,ABS(D699)),2)</f>
        <v>0</v>
      </c>
      <c r="H699">
        <f>ROUND(IF(D699&gt;0,D699,),2)</f>
        <v>0</v>
      </c>
      <c r="K699" s="7"/>
      <c r="L699" s="9"/>
      <c r="M699" s="9"/>
      <c r="N699" s="7"/>
      <c r="P699" s="18"/>
      <c r="Q699" s="2"/>
      <c r="R699" s="2"/>
      <c r="AF699" s="14"/>
    </row>
    <row r="700" spans="1:32" customFormat="1" x14ac:dyDescent="0.25">
      <c r="A700" s="9"/>
      <c r="C700" s="14"/>
      <c r="E700" t="str">
        <f>IF(ISNA(VLOOKUP(C700,P:Q,2,0)),"",VLOOKUP(C700,P:Q,2,0))</f>
        <v/>
      </c>
      <c r="F700" s="15" t="str">
        <f>IF(ISNA(VLOOKUP(C700,P:R,3,0)),"",VLOOKUP(C700,P:R,3,0))</f>
        <v/>
      </c>
      <c r="G700">
        <f>ROUND(IF(D700&gt;0,0,ABS(D700)),2)</f>
        <v>0</v>
      </c>
      <c r="H700">
        <f>ROUND(IF(D700&gt;0,D700,),2)</f>
        <v>0</v>
      </c>
      <c r="K700" s="7"/>
      <c r="L700" s="9"/>
      <c r="M700" s="9"/>
      <c r="N700" s="7"/>
      <c r="P700" s="18"/>
      <c r="Q700" s="2"/>
      <c r="R700" s="2"/>
      <c r="AF700" s="14"/>
    </row>
    <row r="701" spans="1:32" customFormat="1" x14ac:dyDescent="0.25">
      <c r="A701" s="9"/>
      <c r="C701" s="14"/>
      <c r="E701" t="str">
        <f>IF(ISNA(VLOOKUP(C701,P:Q,2,0)),"",VLOOKUP(C701,P:Q,2,0))</f>
        <v/>
      </c>
      <c r="F701" s="15" t="str">
        <f>IF(ISNA(VLOOKUP(C701,P:R,3,0)),"",VLOOKUP(C701,P:R,3,0))</f>
        <v/>
      </c>
      <c r="G701">
        <f>ROUND(IF(D701&gt;0,0,ABS(D701)),2)</f>
        <v>0</v>
      </c>
      <c r="H701">
        <f>ROUND(IF(D701&gt;0,D701,),2)</f>
        <v>0</v>
      </c>
      <c r="K701" s="7"/>
      <c r="L701" s="9"/>
      <c r="M701" s="9"/>
      <c r="N701" s="7"/>
      <c r="P701" s="18"/>
      <c r="Q701" s="2"/>
      <c r="R701" s="2"/>
      <c r="AF701" s="14"/>
    </row>
    <row r="702" spans="1:32" customFormat="1" x14ac:dyDescent="0.25">
      <c r="A702" s="9"/>
      <c r="C702" s="14"/>
      <c r="E702" t="str">
        <f>IF(ISNA(VLOOKUP(C702,P:Q,2,0)),"",VLOOKUP(C702,P:Q,2,0))</f>
        <v/>
      </c>
      <c r="F702" s="15" t="str">
        <f>IF(ISNA(VLOOKUP(C702,P:R,3,0)),"",VLOOKUP(C702,P:R,3,0))</f>
        <v/>
      </c>
      <c r="G702">
        <f>ROUND(IF(D702&gt;0,0,ABS(D702)),2)</f>
        <v>0</v>
      </c>
      <c r="H702">
        <f>ROUND(IF(D702&gt;0,D702,),2)</f>
        <v>0</v>
      </c>
      <c r="K702" s="7"/>
      <c r="L702" s="9"/>
      <c r="M702" s="9"/>
      <c r="N702" s="7"/>
      <c r="P702" s="18"/>
      <c r="Q702" s="2"/>
      <c r="R702" s="2"/>
      <c r="AF702" s="14"/>
    </row>
    <row r="703" spans="1:32" customFormat="1" x14ac:dyDescent="0.25">
      <c r="A703" s="9"/>
      <c r="C703" s="14"/>
      <c r="E703" t="str">
        <f>IF(ISNA(VLOOKUP(C703,P:Q,2,0)),"",VLOOKUP(C703,P:Q,2,0))</f>
        <v/>
      </c>
      <c r="F703" s="15" t="str">
        <f>IF(ISNA(VLOOKUP(C703,P:R,3,0)),"",VLOOKUP(C703,P:R,3,0))</f>
        <v/>
      </c>
      <c r="G703">
        <f>ROUND(IF(D703&gt;0,0,ABS(D703)),2)</f>
        <v>0</v>
      </c>
      <c r="H703">
        <f>ROUND(IF(D703&gt;0,D703,),2)</f>
        <v>0</v>
      </c>
      <c r="K703" s="7"/>
      <c r="L703" s="9"/>
      <c r="M703" s="9"/>
      <c r="N703" s="7"/>
      <c r="P703" s="18"/>
      <c r="Q703" s="2"/>
      <c r="R703" s="2"/>
      <c r="AF703" s="14"/>
    </row>
    <row r="704" spans="1:32" customFormat="1" x14ac:dyDescent="0.25">
      <c r="A704" s="9"/>
      <c r="C704" s="14"/>
      <c r="E704" t="str">
        <f>IF(ISNA(VLOOKUP(C704,P:Q,2,0)),"",VLOOKUP(C704,P:Q,2,0))</f>
        <v/>
      </c>
      <c r="F704" s="15" t="str">
        <f>IF(ISNA(VLOOKUP(C704,P:R,3,0)),"",VLOOKUP(C704,P:R,3,0))</f>
        <v/>
      </c>
      <c r="G704">
        <f>ROUND(IF(D704&gt;0,0,ABS(D704)),2)</f>
        <v>0</v>
      </c>
      <c r="H704">
        <f>ROUND(IF(D704&gt;0,D704,),2)</f>
        <v>0</v>
      </c>
      <c r="K704" s="7"/>
      <c r="L704" s="9"/>
      <c r="M704" s="9"/>
      <c r="N704" s="7"/>
      <c r="P704" s="18"/>
      <c r="Q704" s="2"/>
      <c r="R704" s="2"/>
      <c r="AF704" s="14"/>
    </row>
    <row r="705" spans="1:32" customFormat="1" x14ac:dyDescent="0.25">
      <c r="A705" s="9"/>
      <c r="C705" s="14"/>
      <c r="E705" t="str">
        <f>IF(ISNA(VLOOKUP(C705,P:Q,2,0)),"",VLOOKUP(C705,P:Q,2,0))</f>
        <v/>
      </c>
      <c r="F705" s="15" t="str">
        <f>IF(ISNA(VLOOKUP(C705,P:R,3,0)),"",VLOOKUP(C705,P:R,3,0))</f>
        <v/>
      </c>
      <c r="G705">
        <f>ROUND(IF(D705&gt;0,0,ABS(D705)),2)</f>
        <v>0</v>
      </c>
      <c r="H705">
        <f>ROUND(IF(D705&gt;0,D705,),2)</f>
        <v>0</v>
      </c>
      <c r="K705" s="7"/>
      <c r="L705" s="9"/>
      <c r="M705" s="9"/>
      <c r="N705" s="7"/>
      <c r="P705" s="18"/>
      <c r="Q705" s="2"/>
      <c r="R705" s="2"/>
      <c r="AF705" s="14"/>
    </row>
    <row r="706" spans="1:32" customFormat="1" x14ac:dyDescent="0.25">
      <c r="A706" s="9"/>
      <c r="C706" s="14"/>
      <c r="E706" t="str">
        <f>IF(ISNA(VLOOKUP(C706,P:Q,2,0)),"",VLOOKUP(C706,P:Q,2,0))</f>
        <v/>
      </c>
      <c r="F706" s="15" t="str">
        <f>IF(ISNA(VLOOKUP(C706,P:R,3,0)),"",VLOOKUP(C706,P:R,3,0))</f>
        <v/>
      </c>
      <c r="G706">
        <f>ROUND(IF(D706&gt;0,0,ABS(D706)),2)</f>
        <v>0</v>
      </c>
      <c r="H706">
        <f>ROUND(IF(D706&gt;0,D706,),2)</f>
        <v>0</v>
      </c>
      <c r="K706" s="7"/>
      <c r="L706" s="9"/>
      <c r="M706" s="9"/>
      <c r="N706" s="7"/>
      <c r="P706" s="18"/>
      <c r="Q706" s="2"/>
      <c r="R706" s="2"/>
      <c r="AF706" s="14"/>
    </row>
    <row r="707" spans="1:32" customFormat="1" x14ac:dyDescent="0.25">
      <c r="A707" s="9"/>
      <c r="C707" s="14"/>
      <c r="E707" t="str">
        <f>IF(ISNA(VLOOKUP(C707,P:Q,2,0)),"",VLOOKUP(C707,P:Q,2,0))</f>
        <v/>
      </c>
      <c r="F707" s="15" t="str">
        <f>IF(ISNA(VLOOKUP(C707,P:R,3,0)),"",VLOOKUP(C707,P:R,3,0))</f>
        <v/>
      </c>
      <c r="G707">
        <f>ROUND(IF(D707&gt;0,0,ABS(D707)),2)</f>
        <v>0</v>
      </c>
      <c r="H707">
        <f>ROUND(IF(D707&gt;0,D707,),2)</f>
        <v>0</v>
      </c>
      <c r="K707" s="7"/>
      <c r="L707" s="9"/>
      <c r="M707" s="9"/>
      <c r="N707" s="7"/>
      <c r="P707" s="18"/>
      <c r="Q707" s="2"/>
      <c r="R707" s="2"/>
      <c r="AF707" s="14"/>
    </row>
    <row r="708" spans="1:32" customFormat="1" x14ac:dyDescent="0.25">
      <c r="A708" s="9"/>
      <c r="C708" s="14"/>
      <c r="E708" t="str">
        <f>IF(ISNA(VLOOKUP(C708,P:Q,2,0)),"",VLOOKUP(C708,P:Q,2,0))</f>
        <v/>
      </c>
      <c r="F708" s="15" t="str">
        <f>IF(ISNA(VLOOKUP(C708,P:R,3,0)),"",VLOOKUP(C708,P:R,3,0))</f>
        <v/>
      </c>
      <c r="G708">
        <f>ROUND(IF(D708&gt;0,0,ABS(D708)),2)</f>
        <v>0</v>
      </c>
      <c r="H708">
        <f>ROUND(IF(D708&gt;0,D708,),2)</f>
        <v>0</v>
      </c>
      <c r="K708" s="7"/>
      <c r="L708" s="9"/>
      <c r="M708" s="9"/>
      <c r="N708" s="7"/>
      <c r="P708" s="18"/>
      <c r="Q708" s="2"/>
      <c r="R708" s="2"/>
      <c r="AF708" s="14"/>
    </row>
    <row r="709" spans="1:32" customFormat="1" x14ac:dyDescent="0.25">
      <c r="A709" s="9"/>
      <c r="C709" s="14"/>
      <c r="E709" t="str">
        <f>IF(ISNA(VLOOKUP(C709,P:Q,2,0)),"",VLOOKUP(C709,P:Q,2,0))</f>
        <v/>
      </c>
      <c r="F709" s="15" t="str">
        <f>IF(ISNA(VLOOKUP(C709,P:R,3,0)),"",VLOOKUP(C709,P:R,3,0))</f>
        <v/>
      </c>
      <c r="G709">
        <f>ROUND(IF(D709&gt;0,0,ABS(D709)),2)</f>
        <v>0</v>
      </c>
      <c r="H709">
        <f>ROUND(IF(D709&gt;0,D709,),2)</f>
        <v>0</v>
      </c>
      <c r="K709" s="7"/>
      <c r="L709" s="9"/>
      <c r="M709" s="9"/>
      <c r="N709" s="7"/>
      <c r="P709" s="18"/>
      <c r="Q709" s="2"/>
      <c r="R709" s="2"/>
      <c r="AF709" s="14"/>
    </row>
    <row r="710" spans="1:32" customFormat="1" x14ac:dyDescent="0.25">
      <c r="A710" s="9"/>
      <c r="C710" s="14"/>
      <c r="E710" t="str">
        <f>IF(ISNA(VLOOKUP(C710,P:Q,2,0)),"",VLOOKUP(C710,P:Q,2,0))</f>
        <v/>
      </c>
      <c r="F710" s="15" t="str">
        <f>IF(ISNA(VLOOKUP(C710,P:R,3,0)),"",VLOOKUP(C710,P:R,3,0))</f>
        <v/>
      </c>
      <c r="G710">
        <f>ROUND(IF(D710&gt;0,0,ABS(D710)),2)</f>
        <v>0</v>
      </c>
      <c r="H710">
        <f>ROUND(IF(D710&gt;0,D710,),2)</f>
        <v>0</v>
      </c>
      <c r="K710" s="7"/>
      <c r="L710" s="9"/>
      <c r="M710" s="9"/>
      <c r="N710" s="7"/>
      <c r="P710" s="18"/>
      <c r="Q710" s="2"/>
      <c r="R710" s="2"/>
      <c r="AF710" s="14"/>
    </row>
    <row r="711" spans="1:32" customFormat="1" x14ac:dyDescent="0.25">
      <c r="A711" s="9"/>
      <c r="C711" s="14"/>
      <c r="E711" t="str">
        <f>IF(ISNA(VLOOKUP(C711,P:Q,2,0)),"",VLOOKUP(C711,P:Q,2,0))</f>
        <v/>
      </c>
      <c r="F711" s="15" t="str">
        <f>IF(ISNA(VLOOKUP(C711,P:R,3,0)),"",VLOOKUP(C711,P:R,3,0))</f>
        <v/>
      </c>
      <c r="G711">
        <f>ROUND(IF(D711&gt;0,0,ABS(D711)),2)</f>
        <v>0</v>
      </c>
      <c r="H711">
        <f>ROUND(IF(D711&gt;0,D711,),2)</f>
        <v>0</v>
      </c>
      <c r="K711" s="7"/>
      <c r="L711" s="9"/>
      <c r="M711" s="9"/>
      <c r="N711" s="7"/>
      <c r="P711" s="18"/>
      <c r="Q711" s="2"/>
      <c r="R711" s="2"/>
      <c r="AF711" s="14"/>
    </row>
    <row r="712" spans="1:32" customFormat="1" x14ac:dyDescent="0.25">
      <c r="A712" s="9"/>
      <c r="C712" s="14"/>
      <c r="E712" t="str">
        <f>IF(ISNA(VLOOKUP(C712,P:Q,2,0)),"",VLOOKUP(C712,P:Q,2,0))</f>
        <v/>
      </c>
      <c r="F712" s="15" t="str">
        <f>IF(ISNA(VLOOKUP(C712,P:R,3,0)),"",VLOOKUP(C712,P:R,3,0))</f>
        <v/>
      </c>
      <c r="G712">
        <f>ROUND(IF(D712&gt;0,0,ABS(D712)),2)</f>
        <v>0</v>
      </c>
      <c r="H712">
        <f>ROUND(IF(D712&gt;0,D712,),2)</f>
        <v>0</v>
      </c>
      <c r="K712" s="7"/>
      <c r="L712" s="9"/>
      <c r="M712" s="9"/>
      <c r="N712" s="7"/>
      <c r="P712" s="18"/>
      <c r="Q712" s="2"/>
      <c r="R712" s="2"/>
      <c r="AF712" s="14"/>
    </row>
    <row r="713" spans="1:32" customFormat="1" x14ac:dyDescent="0.25">
      <c r="A713" s="9"/>
      <c r="C713" s="14"/>
      <c r="E713" t="str">
        <f>IF(ISNA(VLOOKUP(C713,P:Q,2,0)),"",VLOOKUP(C713,P:Q,2,0))</f>
        <v/>
      </c>
      <c r="F713" s="15" t="str">
        <f>IF(ISNA(VLOOKUP(C713,P:R,3,0)),"",VLOOKUP(C713,P:R,3,0))</f>
        <v/>
      </c>
      <c r="G713">
        <f>ROUND(IF(D713&gt;0,0,ABS(D713)),2)</f>
        <v>0</v>
      </c>
      <c r="H713">
        <f>ROUND(IF(D713&gt;0,D713,),2)</f>
        <v>0</v>
      </c>
      <c r="K713" s="7"/>
      <c r="L713" s="9"/>
      <c r="M713" s="9"/>
      <c r="N713" s="7"/>
      <c r="P713" s="18"/>
      <c r="Q713" s="2"/>
      <c r="R713" s="2"/>
      <c r="AF713" s="14"/>
    </row>
    <row r="714" spans="1:32" customFormat="1" x14ac:dyDescent="0.25">
      <c r="A714" s="9"/>
      <c r="C714" s="14"/>
      <c r="E714" t="str">
        <f>IF(ISNA(VLOOKUP(C714,P:Q,2,0)),"",VLOOKUP(C714,P:Q,2,0))</f>
        <v/>
      </c>
      <c r="F714" s="15" t="str">
        <f>IF(ISNA(VLOOKUP(C714,P:R,3,0)),"",VLOOKUP(C714,P:R,3,0))</f>
        <v/>
      </c>
      <c r="G714">
        <f>ROUND(IF(D714&gt;0,0,ABS(D714)),2)</f>
        <v>0</v>
      </c>
      <c r="H714">
        <f>ROUND(IF(D714&gt;0,D714,),2)</f>
        <v>0</v>
      </c>
      <c r="K714" s="7"/>
      <c r="L714" s="9"/>
      <c r="M714" s="9"/>
      <c r="N714" s="7"/>
      <c r="P714" s="18"/>
      <c r="Q714" s="2"/>
      <c r="R714" s="2"/>
      <c r="AF714" s="14"/>
    </row>
    <row r="715" spans="1:32" customFormat="1" x14ac:dyDescent="0.25">
      <c r="A715" s="9"/>
      <c r="C715" s="14"/>
      <c r="E715" t="str">
        <f>IF(ISNA(VLOOKUP(C715,P:Q,2,0)),"",VLOOKUP(C715,P:Q,2,0))</f>
        <v/>
      </c>
      <c r="F715" s="15" t="str">
        <f>IF(ISNA(VLOOKUP(C715,P:R,3,0)),"",VLOOKUP(C715,P:R,3,0))</f>
        <v/>
      </c>
      <c r="G715">
        <f>ROUND(IF(D715&gt;0,0,ABS(D715)),2)</f>
        <v>0</v>
      </c>
      <c r="H715">
        <f>ROUND(IF(D715&gt;0,D715,),2)</f>
        <v>0</v>
      </c>
      <c r="K715" s="7"/>
      <c r="L715" s="9"/>
      <c r="M715" s="9"/>
      <c r="N715" s="7"/>
      <c r="P715" s="18"/>
      <c r="Q715" s="2"/>
      <c r="R715" s="2"/>
      <c r="AF715" s="14"/>
    </row>
    <row r="716" spans="1:32" customFormat="1" x14ac:dyDescent="0.25">
      <c r="A716" s="9"/>
      <c r="C716" s="14"/>
      <c r="E716" t="str">
        <f>IF(ISNA(VLOOKUP(C716,P:Q,2,0)),"",VLOOKUP(C716,P:Q,2,0))</f>
        <v/>
      </c>
      <c r="F716" s="15" t="str">
        <f>IF(ISNA(VLOOKUP(C716,P:R,3,0)),"",VLOOKUP(C716,P:R,3,0))</f>
        <v/>
      </c>
      <c r="G716">
        <f>ROUND(IF(D716&gt;0,0,ABS(D716)),2)</f>
        <v>0</v>
      </c>
      <c r="H716">
        <f>ROUND(IF(D716&gt;0,D716,),2)</f>
        <v>0</v>
      </c>
      <c r="K716" s="7"/>
      <c r="L716" s="9"/>
      <c r="M716" s="9"/>
      <c r="N716" s="7"/>
      <c r="P716" s="18"/>
      <c r="Q716" s="2"/>
      <c r="R716" s="2"/>
      <c r="AF716" s="14"/>
    </row>
    <row r="717" spans="1:32" customFormat="1" x14ac:dyDescent="0.25">
      <c r="A717" s="9"/>
      <c r="C717" s="14"/>
      <c r="E717" t="str">
        <f>IF(ISNA(VLOOKUP(C717,P:Q,2,0)),"",VLOOKUP(C717,P:Q,2,0))</f>
        <v/>
      </c>
      <c r="F717" s="15" t="str">
        <f>IF(ISNA(VLOOKUP(C717,P:R,3,0)),"",VLOOKUP(C717,P:R,3,0))</f>
        <v/>
      </c>
      <c r="G717">
        <f>ROUND(IF(D717&gt;0,0,ABS(D717)),2)</f>
        <v>0</v>
      </c>
      <c r="H717">
        <f>ROUND(IF(D717&gt;0,D717,),2)</f>
        <v>0</v>
      </c>
      <c r="K717" s="7"/>
      <c r="L717" s="9"/>
      <c r="M717" s="9"/>
      <c r="N717" s="7"/>
      <c r="P717" s="18"/>
      <c r="Q717" s="2"/>
      <c r="R717" s="2"/>
      <c r="AF717" s="14"/>
    </row>
    <row r="718" spans="1:32" customFormat="1" x14ac:dyDescent="0.25">
      <c r="A718" s="9"/>
      <c r="C718" s="14"/>
      <c r="E718" t="str">
        <f>IF(ISNA(VLOOKUP(C718,P:Q,2,0)),"",VLOOKUP(C718,P:Q,2,0))</f>
        <v/>
      </c>
      <c r="F718" s="15" t="str">
        <f>IF(ISNA(VLOOKUP(C718,P:R,3,0)),"",VLOOKUP(C718,P:R,3,0))</f>
        <v/>
      </c>
      <c r="G718">
        <f>ROUND(IF(D718&gt;0,0,ABS(D718)),2)</f>
        <v>0</v>
      </c>
      <c r="H718">
        <f>ROUND(IF(D718&gt;0,D718,),2)</f>
        <v>0</v>
      </c>
      <c r="K718" s="7"/>
      <c r="L718" s="9"/>
      <c r="M718" s="9"/>
      <c r="N718" s="7"/>
      <c r="P718" s="18"/>
      <c r="Q718" s="2"/>
      <c r="R718" s="2"/>
      <c r="AF718" s="14"/>
    </row>
    <row r="719" spans="1:32" customFormat="1" x14ac:dyDescent="0.25">
      <c r="A719" s="9"/>
      <c r="C719" s="14"/>
      <c r="E719" t="str">
        <f>IF(ISNA(VLOOKUP(C719,P:Q,2,0)),"",VLOOKUP(C719,P:Q,2,0))</f>
        <v/>
      </c>
      <c r="F719" s="15" t="str">
        <f>IF(ISNA(VLOOKUP(C719,P:R,3,0)),"",VLOOKUP(C719,P:R,3,0))</f>
        <v/>
      </c>
      <c r="G719">
        <f>ROUND(IF(D719&gt;0,0,ABS(D719)),2)</f>
        <v>0</v>
      </c>
      <c r="H719">
        <f>ROUND(IF(D719&gt;0,D719,),2)</f>
        <v>0</v>
      </c>
      <c r="K719" s="7"/>
      <c r="L719" s="9"/>
      <c r="M719" s="9"/>
      <c r="N719" s="7"/>
      <c r="P719" s="18"/>
      <c r="Q719" s="2"/>
      <c r="R719" s="2"/>
      <c r="AF719" s="14"/>
    </row>
    <row r="720" spans="1:32" customFormat="1" x14ac:dyDescent="0.25">
      <c r="A720" s="9"/>
      <c r="C720" s="14"/>
      <c r="E720" t="str">
        <f>IF(ISNA(VLOOKUP(C720,P:Q,2,0)),"",VLOOKUP(C720,P:Q,2,0))</f>
        <v/>
      </c>
      <c r="F720" s="15" t="str">
        <f>IF(ISNA(VLOOKUP(C720,P:R,3,0)),"",VLOOKUP(C720,P:R,3,0))</f>
        <v/>
      </c>
      <c r="G720">
        <f>ROUND(IF(D720&gt;0,0,ABS(D720)),2)</f>
        <v>0</v>
      </c>
      <c r="H720">
        <f>ROUND(IF(D720&gt;0,D720,),2)</f>
        <v>0</v>
      </c>
      <c r="K720" s="7"/>
      <c r="L720" s="9"/>
      <c r="M720" s="9"/>
      <c r="N720" s="7"/>
      <c r="P720" s="18"/>
      <c r="Q720" s="2"/>
      <c r="R720" s="2"/>
      <c r="AF720" s="14"/>
    </row>
    <row r="721" spans="1:32" customFormat="1" x14ac:dyDescent="0.25">
      <c r="A721" s="9"/>
      <c r="C721" s="14"/>
      <c r="E721" t="str">
        <f>IF(ISNA(VLOOKUP(C721,P:Q,2,0)),"",VLOOKUP(C721,P:Q,2,0))</f>
        <v/>
      </c>
      <c r="F721" s="15" t="str">
        <f>IF(ISNA(VLOOKUP(C721,P:R,3,0)),"",VLOOKUP(C721,P:R,3,0))</f>
        <v/>
      </c>
      <c r="G721">
        <f>ROUND(IF(D721&gt;0,0,ABS(D721)),2)</f>
        <v>0</v>
      </c>
      <c r="H721">
        <f>ROUND(IF(D721&gt;0,D721,),2)</f>
        <v>0</v>
      </c>
      <c r="K721" s="7"/>
      <c r="L721" s="9"/>
      <c r="M721" s="9"/>
      <c r="N721" s="7"/>
      <c r="P721" s="18"/>
      <c r="Q721" s="2"/>
      <c r="R721" s="2"/>
      <c r="AF721" s="14"/>
    </row>
    <row r="722" spans="1:32" customFormat="1" x14ac:dyDescent="0.25">
      <c r="A722" s="9"/>
      <c r="C722" s="14"/>
      <c r="E722" t="str">
        <f>IF(ISNA(VLOOKUP(C722,P:Q,2,0)),"",VLOOKUP(C722,P:Q,2,0))</f>
        <v/>
      </c>
      <c r="F722" s="15" t="str">
        <f>IF(ISNA(VLOOKUP(C722,P:R,3,0)),"",VLOOKUP(C722,P:R,3,0))</f>
        <v/>
      </c>
      <c r="G722">
        <f>ROUND(IF(D722&gt;0,0,ABS(D722)),2)</f>
        <v>0</v>
      </c>
      <c r="H722">
        <f>ROUND(IF(D722&gt;0,D722,),2)</f>
        <v>0</v>
      </c>
      <c r="K722" s="7"/>
      <c r="L722" s="9"/>
      <c r="M722" s="9"/>
      <c r="N722" s="7"/>
      <c r="P722" s="18"/>
      <c r="Q722" s="2"/>
      <c r="R722" s="2"/>
      <c r="AF722" s="14"/>
    </row>
    <row r="723" spans="1:32" customFormat="1" x14ac:dyDescent="0.25">
      <c r="A723" s="9"/>
      <c r="C723" s="14"/>
      <c r="E723" t="str">
        <f>IF(ISNA(VLOOKUP(C723,P:Q,2,0)),"",VLOOKUP(C723,P:Q,2,0))</f>
        <v/>
      </c>
      <c r="F723" s="15" t="str">
        <f>IF(ISNA(VLOOKUP(C723,P:R,3,0)),"",VLOOKUP(C723,P:R,3,0))</f>
        <v/>
      </c>
      <c r="G723">
        <f>ROUND(IF(D723&gt;0,0,ABS(D723)),2)</f>
        <v>0</v>
      </c>
      <c r="H723">
        <f>ROUND(IF(D723&gt;0,D723,),2)</f>
        <v>0</v>
      </c>
      <c r="K723" s="7"/>
      <c r="L723" s="9"/>
      <c r="M723" s="9"/>
      <c r="N723" s="7"/>
      <c r="P723" s="18"/>
      <c r="Q723" s="2"/>
      <c r="R723" s="2"/>
      <c r="AF723" s="14"/>
    </row>
    <row r="724" spans="1:32" customFormat="1" x14ac:dyDescent="0.25">
      <c r="A724" s="9"/>
      <c r="C724" s="14"/>
      <c r="E724" t="str">
        <f>IF(ISNA(VLOOKUP(C724,P:Q,2,0)),"",VLOOKUP(C724,P:Q,2,0))</f>
        <v/>
      </c>
      <c r="F724" s="15" t="str">
        <f>IF(ISNA(VLOOKUP(C724,P:R,3,0)),"",VLOOKUP(C724,P:R,3,0))</f>
        <v/>
      </c>
      <c r="G724">
        <f>ROUND(IF(D724&gt;0,0,ABS(D724)),2)</f>
        <v>0</v>
      </c>
      <c r="H724">
        <f>ROUND(IF(D724&gt;0,D724,),2)</f>
        <v>0</v>
      </c>
      <c r="K724" s="7"/>
      <c r="L724" s="9"/>
      <c r="M724" s="9"/>
      <c r="N724" s="7"/>
      <c r="P724" s="18"/>
      <c r="Q724" s="2"/>
      <c r="R724" s="2"/>
      <c r="AF724" s="14"/>
    </row>
    <row r="725" spans="1:32" customFormat="1" x14ac:dyDescent="0.25">
      <c r="A725" s="9"/>
      <c r="C725" s="14"/>
      <c r="E725" t="str">
        <f>IF(ISNA(VLOOKUP(C725,P:Q,2,0)),"",VLOOKUP(C725,P:Q,2,0))</f>
        <v/>
      </c>
      <c r="F725" s="15" t="str">
        <f>IF(ISNA(VLOOKUP(C725,P:R,3,0)),"",VLOOKUP(C725,P:R,3,0))</f>
        <v/>
      </c>
      <c r="G725">
        <f>ROUND(IF(D725&gt;0,0,ABS(D725)),2)</f>
        <v>0</v>
      </c>
      <c r="H725">
        <f>ROUND(IF(D725&gt;0,D725,),2)</f>
        <v>0</v>
      </c>
      <c r="K725" s="7"/>
      <c r="L725" s="9"/>
      <c r="M725" s="9"/>
      <c r="N725" s="7"/>
      <c r="P725" s="18"/>
      <c r="Q725" s="2"/>
      <c r="R725" s="2"/>
      <c r="AF725" s="14"/>
    </row>
    <row r="726" spans="1:32" customFormat="1" x14ac:dyDescent="0.25">
      <c r="A726" s="9"/>
      <c r="C726" s="14"/>
      <c r="E726" t="str">
        <f>IF(ISNA(VLOOKUP(C726,P:Q,2,0)),"",VLOOKUP(C726,P:Q,2,0))</f>
        <v/>
      </c>
      <c r="F726" s="15" t="str">
        <f>IF(ISNA(VLOOKUP(C726,P:R,3,0)),"",VLOOKUP(C726,P:R,3,0))</f>
        <v/>
      </c>
      <c r="G726">
        <f>ROUND(IF(D726&gt;0,0,ABS(D726)),2)</f>
        <v>0</v>
      </c>
      <c r="H726">
        <f>ROUND(IF(D726&gt;0,D726,),2)</f>
        <v>0</v>
      </c>
      <c r="K726" s="7"/>
      <c r="L726" s="9"/>
      <c r="M726" s="9"/>
      <c r="N726" s="7"/>
      <c r="P726" s="18"/>
      <c r="Q726" s="2"/>
      <c r="R726" s="2"/>
      <c r="AF726" s="14"/>
    </row>
    <row r="727" spans="1:32" customFormat="1" x14ac:dyDescent="0.25">
      <c r="A727" s="9"/>
      <c r="C727" s="14"/>
      <c r="E727" t="str">
        <f>IF(ISNA(VLOOKUP(C727,P:Q,2,0)),"",VLOOKUP(C727,P:Q,2,0))</f>
        <v/>
      </c>
      <c r="F727" s="15" t="str">
        <f>IF(ISNA(VLOOKUP(C727,P:R,3,0)),"",VLOOKUP(C727,P:R,3,0))</f>
        <v/>
      </c>
      <c r="G727">
        <f>ROUND(IF(D727&gt;0,0,ABS(D727)),2)</f>
        <v>0</v>
      </c>
      <c r="H727">
        <f>ROUND(IF(D727&gt;0,D727,),2)</f>
        <v>0</v>
      </c>
      <c r="K727" s="7"/>
      <c r="L727" s="9"/>
      <c r="M727" s="9"/>
      <c r="N727" s="7"/>
      <c r="P727" s="18"/>
      <c r="Q727" s="2"/>
      <c r="R727" s="2"/>
      <c r="AF727" s="14"/>
    </row>
    <row r="728" spans="1:32" customFormat="1" x14ac:dyDescent="0.25">
      <c r="A728" s="9"/>
      <c r="C728" s="14"/>
      <c r="E728" t="str">
        <f>IF(ISNA(VLOOKUP(C728,P:Q,2,0)),"",VLOOKUP(C728,P:Q,2,0))</f>
        <v/>
      </c>
      <c r="F728" s="15" t="str">
        <f>IF(ISNA(VLOOKUP(C728,P:R,3,0)),"",VLOOKUP(C728,P:R,3,0))</f>
        <v/>
      </c>
      <c r="G728">
        <f>ROUND(IF(D728&gt;0,0,ABS(D728)),2)</f>
        <v>0</v>
      </c>
      <c r="H728">
        <f>ROUND(IF(D728&gt;0,D728,),2)</f>
        <v>0</v>
      </c>
      <c r="K728" s="7"/>
      <c r="L728" s="9"/>
      <c r="M728" s="9"/>
      <c r="N728" s="7"/>
      <c r="P728" s="18"/>
      <c r="Q728" s="2"/>
      <c r="R728" s="2"/>
      <c r="AF728" s="14"/>
    </row>
    <row r="729" spans="1:32" customFormat="1" x14ac:dyDescent="0.25">
      <c r="A729" s="9"/>
      <c r="C729" s="14"/>
      <c r="E729" t="str">
        <f>IF(ISNA(VLOOKUP(C729,P:Q,2,0)),"",VLOOKUP(C729,P:Q,2,0))</f>
        <v/>
      </c>
      <c r="F729" s="15" t="str">
        <f>IF(ISNA(VLOOKUP(C729,P:R,3,0)),"",VLOOKUP(C729,P:R,3,0))</f>
        <v/>
      </c>
      <c r="G729">
        <f>ROUND(IF(D729&gt;0,0,ABS(D729)),2)</f>
        <v>0</v>
      </c>
      <c r="H729">
        <f>ROUND(IF(D729&gt;0,D729,),2)</f>
        <v>0</v>
      </c>
      <c r="K729" s="7"/>
      <c r="L729" s="9"/>
      <c r="M729" s="9"/>
      <c r="N729" s="7"/>
      <c r="P729" s="18"/>
      <c r="Q729" s="2"/>
      <c r="R729" s="2"/>
      <c r="AF729" s="14"/>
    </row>
    <row r="730" spans="1:32" customFormat="1" x14ac:dyDescent="0.25">
      <c r="A730" s="9"/>
      <c r="C730" s="14"/>
      <c r="E730" t="str">
        <f>IF(ISNA(VLOOKUP(C730,P:Q,2,0)),"",VLOOKUP(C730,P:Q,2,0))</f>
        <v/>
      </c>
      <c r="F730" s="15" t="str">
        <f>IF(ISNA(VLOOKUP(C730,P:R,3,0)),"",VLOOKUP(C730,P:R,3,0))</f>
        <v/>
      </c>
      <c r="G730">
        <f>ROUND(IF(D730&gt;0,0,ABS(D730)),2)</f>
        <v>0</v>
      </c>
      <c r="H730">
        <f>ROUND(IF(D730&gt;0,D730,),2)</f>
        <v>0</v>
      </c>
      <c r="K730" s="7"/>
      <c r="L730" s="9"/>
      <c r="M730" s="9"/>
      <c r="N730" s="7"/>
      <c r="P730" s="18"/>
      <c r="Q730" s="2"/>
      <c r="R730" s="2"/>
      <c r="AF730" s="14"/>
    </row>
    <row r="731" spans="1:32" customFormat="1" x14ac:dyDescent="0.25">
      <c r="A731" s="9"/>
      <c r="C731" s="14"/>
      <c r="E731" t="str">
        <f>IF(ISNA(VLOOKUP(C731,P:Q,2,0)),"",VLOOKUP(C731,P:Q,2,0))</f>
        <v/>
      </c>
      <c r="F731" s="15" t="str">
        <f>IF(ISNA(VLOOKUP(C731,P:R,3,0)),"",VLOOKUP(C731,P:R,3,0))</f>
        <v/>
      </c>
      <c r="G731">
        <f>ROUND(IF(D731&gt;0,0,ABS(D731)),2)</f>
        <v>0</v>
      </c>
      <c r="H731">
        <f>ROUND(IF(D731&gt;0,D731,),2)</f>
        <v>0</v>
      </c>
      <c r="K731" s="7"/>
      <c r="L731" s="9"/>
      <c r="M731" s="9"/>
      <c r="N731" s="7"/>
      <c r="P731" s="18"/>
      <c r="Q731" s="2"/>
      <c r="R731" s="2"/>
      <c r="AF731" s="14"/>
    </row>
    <row r="732" spans="1:32" customFormat="1" x14ac:dyDescent="0.25">
      <c r="A732" s="9"/>
      <c r="C732" s="14"/>
      <c r="E732" t="str">
        <f>IF(ISNA(VLOOKUP(C732,P:Q,2,0)),"",VLOOKUP(C732,P:Q,2,0))</f>
        <v/>
      </c>
      <c r="F732" s="15" t="str">
        <f>IF(ISNA(VLOOKUP(C732,P:R,3,0)),"",VLOOKUP(C732,P:R,3,0))</f>
        <v/>
      </c>
      <c r="G732">
        <f>ROUND(IF(D732&gt;0,0,ABS(D732)),2)</f>
        <v>0</v>
      </c>
      <c r="H732">
        <f>ROUND(IF(D732&gt;0,D732,),2)</f>
        <v>0</v>
      </c>
      <c r="K732" s="7"/>
      <c r="L732" s="9"/>
      <c r="M732" s="9"/>
      <c r="N732" s="7"/>
      <c r="P732" s="18"/>
      <c r="Q732" s="2"/>
      <c r="R732" s="2"/>
      <c r="AF732" s="14"/>
    </row>
    <row r="733" spans="1:32" customFormat="1" x14ac:dyDescent="0.25">
      <c r="A733" s="9"/>
      <c r="C733" s="14"/>
      <c r="E733" t="str">
        <f>IF(ISNA(VLOOKUP(C733,P:Q,2,0)),"",VLOOKUP(C733,P:Q,2,0))</f>
        <v/>
      </c>
      <c r="F733" s="15" t="str">
        <f>IF(ISNA(VLOOKUP(C733,P:R,3,0)),"",VLOOKUP(C733,P:R,3,0))</f>
        <v/>
      </c>
      <c r="G733">
        <f>ROUND(IF(D733&gt;0,0,ABS(D733)),2)</f>
        <v>0</v>
      </c>
      <c r="H733">
        <f>ROUND(IF(D733&gt;0,D733,),2)</f>
        <v>0</v>
      </c>
      <c r="K733" s="7"/>
      <c r="L733" s="9"/>
      <c r="M733" s="9"/>
      <c r="N733" s="7"/>
      <c r="P733" s="18"/>
      <c r="Q733" s="2"/>
      <c r="R733" s="2"/>
      <c r="AF733" s="14"/>
    </row>
    <row r="734" spans="1:32" customFormat="1" x14ac:dyDescent="0.25">
      <c r="A734" s="9"/>
      <c r="C734" s="14"/>
      <c r="E734" t="str">
        <f>IF(ISNA(VLOOKUP(C734,P:Q,2,0)),"",VLOOKUP(C734,P:Q,2,0))</f>
        <v/>
      </c>
      <c r="F734" s="15" t="str">
        <f>IF(ISNA(VLOOKUP(C734,P:R,3,0)),"",VLOOKUP(C734,P:R,3,0))</f>
        <v/>
      </c>
      <c r="G734">
        <f>ROUND(IF(D734&gt;0,0,ABS(D734)),2)</f>
        <v>0</v>
      </c>
      <c r="H734">
        <f>ROUND(IF(D734&gt;0,D734,),2)</f>
        <v>0</v>
      </c>
      <c r="K734" s="7"/>
      <c r="L734" s="9"/>
      <c r="M734" s="9"/>
      <c r="N734" s="7"/>
      <c r="P734" s="18"/>
      <c r="Q734" s="2"/>
      <c r="R734" s="2"/>
      <c r="AF734" s="14"/>
    </row>
    <row r="735" spans="1:32" customFormat="1" x14ac:dyDescent="0.25">
      <c r="A735" s="9"/>
      <c r="C735" s="14"/>
      <c r="E735" t="str">
        <f>IF(ISNA(VLOOKUP(C735,P:Q,2,0)),"",VLOOKUP(C735,P:Q,2,0))</f>
        <v/>
      </c>
      <c r="F735" s="15" t="str">
        <f>IF(ISNA(VLOOKUP(C735,P:R,3,0)),"",VLOOKUP(C735,P:R,3,0))</f>
        <v/>
      </c>
      <c r="G735">
        <f>ROUND(IF(D735&gt;0,0,ABS(D735)),2)</f>
        <v>0</v>
      </c>
      <c r="H735">
        <f>ROUND(IF(D735&gt;0,D735,),2)</f>
        <v>0</v>
      </c>
      <c r="K735" s="7"/>
      <c r="L735" s="9"/>
      <c r="M735" s="9"/>
      <c r="N735" s="7"/>
      <c r="P735" s="18"/>
      <c r="Q735" s="2"/>
      <c r="R735" s="2"/>
      <c r="AF735" s="14"/>
    </row>
    <row r="736" spans="1:32" customFormat="1" x14ac:dyDescent="0.25">
      <c r="A736" s="9"/>
      <c r="C736" s="14"/>
      <c r="E736" t="str">
        <f>IF(ISNA(VLOOKUP(C736,P:Q,2,0)),"",VLOOKUP(C736,P:Q,2,0))</f>
        <v/>
      </c>
      <c r="F736" s="15" t="str">
        <f>IF(ISNA(VLOOKUP(C736,P:R,3,0)),"",VLOOKUP(C736,P:R,3,0))</f>
        <v/>
      </c>
      <c r="G736">
        <f>ROUND(IF(D736&gt;0,0,ABS(D736)),2)</f>
        <v>0</v>
      </c>
      <c r="H736">
        <f>ROUND(IF(D736&gt;0,D736,),2)</f>
        <v>0</v>
      </c>
      <c r="K736" s="7"/>
      <c r="L736" s="9"/>
      <c r="M736" s="9"/>
      <c r="N736" s="7"/>
      <c r="P736" s="18"/>
      <c r="Q736" s="2"/>
      <c r="R736" s="2"/>
      <c r="AF736" s="14"/>
    </row>
    <row r="737" spans="1:32" customFormat="1" x14ac:dyDescent="0.25">
      <c r="A737" s="9"/>
      <c r="C737" s="14"/>
      <c r="E737" t="str">
        <f>IF(ISNA(VLOOKUP(C737,P:Q,2,0)),"",VLOOKUP(C737,P:Q,2,0))</f>
        <v/>
      </c>
      <c r="F737" s="15" t="str">
        <f>IF(ISNA(VLOOKUP(C737,P:R,3,0)),"",VLOOKUP(C737,P:R,3,0))</f>
        <v/>
      </c>
      <c r="G737">
        <f>ROUND(IF(D737&gt;0,0,ABS(D737)),2)</f>
        <v>0</v>
      </c>
      <c r="H737">
        <f>ROUND(IF(D737&gt;0,D737,),2)</f>
        <v>0</v>
      </c>
      <c r="K737" s="7"/>
      <c r="L737" s="9"/>
      <c r="M737" s="9"/>
      <c r="N737" s="7"/>
      <c r="P737" s="18"/>
      <c r="Q737" s="2"/>
      <c r="R737" s="2"/>
      <c r="AF737" s="14"/>
    </row>
    <row r="738" spans="1:32" customFormat="1" x14ac:dyDescent="0.25">
      <c r="A738" s="9"/>
      <c r="C738" s="14"/>
      <c r="E738" t="str">
        <f>IF(ISNA(VLOOKUP(C738,P:Q,2,0)),"",VLOOKUP(C738,P:Q,2,0))</f>
        <v/>
      </c>
      <c r="F738" s="15" t="str">
        <f>IF(ISNA(VLOOKUP(C738,P:R,3,0)),"",VLOOKUP(C738,P:R,3,0))</f>
        <v/>
      </c>
      <c r="G738">
        <f>ROUND(IF(D738&gt;0,0,ABS(D738)),2)</f>
        <v>0</v>
      </c>
      <c r="H738">
        <f>ROUND(IF(D738&gt;0,D738,),2)</f>
        <v>0</v>
      </c>
      <c r="K738" s="7"/>
      <c r="L738" s="9"/>
      <c r="M738" s="9"/>
      <c r="N738" s="7"/>
      <c r="P738" s="18"/>
      <c r="Q738" s="2"/>
      <c r="R738" s="2"/>
      <c r="AF738" s="14"/>
    </row>
    <row r="739" spans="1:32" customFormat="1" x14ac:dyDescent="0.25">
      <c r="A739" s="9"/>
      <c r="C739" s="14"/>
      <c r="E739" t="str">
        <f>IF(ISNA(VLOOKUP(C739,P:Q,2,0)),"",VLOOKUP(C739,P:Q,2,0))</f>
        <v/>
      </c>
      <c r="F739" s="15" t="str">
        <f>IF(ISNA(VLOOKUP(C739,P:R,3,0)),"",VLOOKUP(C739,P:R,3,0))</f>
        <v/>
      </c>
      <c r="G739">
        <f>ROUND(IF(D739&gt;0,0,ABS(D739)),2)</f>
        <v>0</v>
      </c>
      <c r="H739">
        <f>ROUND(IF(D739&gt;0,D739,),2)</f>
        <v>0</v>
      </c>
      <c r="K739" s="7"/>
      <c r="L739" s="9"/>
      <c r="M739" s="9"/>
      <c r="N739" s="7"/>
      <c r="P739" s="18"/>
      <c r="Q739" s="2"/>
      <c r="R739" s="2"/>
      <c r="AF739" s="14"/>
    </row>
    <row r="740" spans="1:32" customFormat="1" x14ac:dyDescent="0.25">
      <c r="A740" s="9"/>
      <c r="C740" s="14"/>
      <c r="E740" t="str">
        <f>IF(ISNA(VLOOKUP(C740,P:Q,2,0)),"",VLOOKUP(C740,P:Q,2,0))</f>
        <v/>
      </c>
      <c r="F740" s="15" t="str">
        <f>IF(ISNA(VLOOKUP(C740,P:R,3,0)),"",VLOOKUP(C740,P:R,3,0))</f>
        <v/>
      </c>
      <c r="G740">
        <f>ROUND(IF(D740&gt;0,0,ABS(D740)),2)</f>
        <v>0</v>
      </c>
      <c r="H740">
        <f>ROUND(IF(D740&gt;0,D740,),2)</f>
        <v>0</v>
      </c>
      <c r="K740" s="7"/>
      <c r="L740" s="9"/>
      <c r="M740" s="9"/>
      <c r="N740" s="7"/>
      <c r="P740" s="18"/>
      <c r="Q740" s="2"/>
      <c r="R740" s="2"/>
      <c r="AF740" s="14"/>
    </row>
    <row r="741" spans="1:32" customFormat="1" x14ac:dyDescent="0.25">
      <c r="A741" s="9"/>
      <c r="C741" s="14"/>
      <c r="E741" t="str">
        <f>IF(ISNA(VLOOKUP(C741,P:Q,2,0)),"",VLOOKUP(C741,P:Q,2,0))</f>
        <v/>
      </c>
      <c r="F741" s="15" t="str">
        <f>IF(ISNA(VLOOKUP(C741,P:R,3,0)),"",VLOOKUP(C741,P:R,3,0))</f>
        <v/>
      </c>
      <c r="G741">
        <f>ROUND(IF(D741&gt;0,0,ABS(D741)),2)</f>
        <v>0</v>
      </c>
      <c r="H741">
        <f>ROUND(IF(D741&gt;0,D741,),2)</f>
        <v>0</v>
      </c>
      <c r="K741" s="7"/>
      <c r="L741" s="9"/>
      <c r="M741" s="9"/>
      <c r="N741" s="7"/>
      <c r="P741" s="18"/>
      <c r="Q741" s="2"/>
      <c r="R741" s="2"/>
      <c r="AF741" s="14"/>
    </row>
    <row r="742" spans="1:32" customFormat="1" x14ac:dyDescent="0.25">
      <c r="A742" s="9"/>
      <c r="C742" s="14"/>
      <c r="E742" t="str">
        <f>IF(ISNA(VLOOKUP(C742,P:Q,2,0)),"",VLOOKUP(C742,P:Q,2,0))</f>
        <v/>
      </c>
      <c r="F742" s="15" t="str">
        <f>IF(ISNA(VLOOKUP(C742,P:R,3,0)),"",VLOOKUP(C742,P:R,3,0))</f>
        <v/>
      </c>
      <c r="G742">
        <f>ROUND(IF(D742&gt;0,0,ABS(D742)),2)</f>
        <v>0</v>
      </c>
      <c r="H742">
        <f>ROUND(IF(D742&gt;0,D742,),2)</f>
        <v>0</v>
      </c>
      <c r="K742" s="7"/>
      <c r="L742" s="9"/>
      <c r="M742" s="9"/>
      <c r="N742" s="7"/>
      <c r="P742" s="18"/>
      <c r="Q742" s="2"/>
      <c r="R742" s="2"/>
      <c r="AF742" s="14"/>
    </row>
    <row r="743" spans="1:32" customFormat="1" x14ac:dyDescent="0.25">
      <c r="A743" s="9"/>
      <c r="C743" s="14"/>
      <c r="E743" t="str">
        <f>IF(ISNA(VLOOKUP(C743,P:Q,2,0)),"",VLOOKUP(C743,P:Q,2,0))</f>
        <v/>
      </c>
      <c r="F743" s="15" t="str">
        <f>IF(ISNA(VLOOKUP(C743,P:R,3,0)),"",VLOOKUP(C743,P:R,3,0))</f>
        <v/>
      </c>
      <c r="G743">
        <f>ROUND(IF(D743&gt;0,0,ABS(D743)),2)</f>
        <v>0</v>
      </c>
      <c r="H743">
        <f>ROUND(IF(D743&gt;0,D743,),2)</f>
        <v>0</v>
      </c>
      <c r="K743" s="7"/>
      <c r="L743" s="9"/>
      <c r="M743" s="9"/>
      <c r="N743" s="7"/>
      <c r="P743" s="18"/>
      <c r="Q743" s="2"/>
      <c r="R743" s="2"/>
      <c r="AF743" s="14"/>
    </row>
    <row r="744" spans="1:32" customFormat="1" x14ac:dyDescent="0.25">
      <c r="A744" s="9"/>
      <c r="C744" s="14"/>
      <c r="E744" t="str">
        <f>IF(ISNA(VLOOKUP(C744,P:Q,2,0)),"",VLOOKUP(C744,P:Q,2,0))</f>
        <v/>
      </c>
      <c r="F744" s="15" t="str">
        <f>IF(ISNA(VLOOKUP(C744,P:R,3,0)),"",VLOOKUP(C744,P:R,3,0))</f>
        <v/>
      </c>
      <c r="G744">
        <f>ROUND(IF(D744&gt;0,0,ABS(D744)),2)</f>
        <v>0</v>
      </c>
      <c r="H744">
        <f>ROUND(IF(D744&gt;0,D744,),2)</f>
        <v>0</v>
      </c>
      <c r="K744" s="7"/>
      <c r="L744" s="9"/>
      <c r="M744" s="9"/>
      <c r="N744" s="7"/>
      <c r="P744" s="18"/>
      <c r="Q744" s="2"/>
      <c r="R744" s="2"/>
      <c r="AF744" s="14"/>
    </row>
    <row r="745" spans="1:32" customFormat="1" x14ac:dyDescent="0.25">
      <c r="A745" s="9"/>
      <c r="C745" s="14"/>
      <c r="E745" t="str">
        <f>IF(ISNA(VLOOKUP(C745,P:Q,2,0)),"",VLOOKUP(C745,P:Q,2,0))</f>
        <v/>
      </c>
      <c r="F745" s="15" t="str">
        <f>IF(ISNA(VLOOKUP(C745,P:R,3,0)),"",VLOOKUP(C745,P:R,3,0))</f>
        <v/>
      </c>
      <c r="G745">
        <f>ROUND(IF(D745&gt;0,0,ABS(D745)),2)</f>
        <v>0</v>
      </c>
      <c r="H745">
        <f>ROUND(IF(D745&gt;0,D745,),2)</f>
        <v>0</v>
      </c>
      <c r="K745" s="7"/>
      <c r="L745" s="9"/>
      <c r="M745" s="9"/>
      <c r="N745" s="7"/>
      <c r="P745" s="18"/>
      <c r="Q745" s="2"/>
      <c r="R745" s="2"/>
      <c r="AF745" s="14"/>
    </row>
    <row r="746" spans="1:32" customFormat="1" x14ac:dyDescent="0.25">
      <c r="A746" s="9"/>
      <c r="C746" s="14"/>
      <c r="E746" t="str">
        <f>IF(ISNA(VLOOKUP(C746,P:Q,2,0)),"",VLOOKUP(C746,P:Q,2,0))</f>
        <v/>
      </c>
      <c r="F746" s="15" t="str">
        <f>IF(ISNA(VLOOKUP(C746,P:R,3,0)),"",VLOOKUP(C746,P:R,3,0))</f>
        <v/>
      </c>
      <c r="G746">
        <f>ROUND(IF(D746&gt;0,0,ABS(D746)),2)</f>
        <v>0</v>
      </c>
      <c r="H746">
        <f>ROUND(IF(D746&gt;0,D746,),2)</f>
        <v>0</v>
      </c>
      <c r="K746" s="7"/>
      <c r="L746" s="9"/>
      <c r="M746" s="9"/>
      <c r="N746" s="7"/>
      <c r="P746" s="18"/>
      <c r="Q746" s="2"/>
      <c r="R746" s="2"/>
      <c r="AF746" s="14"/>
    </row>
    <row r="747" spans="1:32" customFormat="1" x14ac:dyDescent="0.25">
      <c r="A747" s="9"/>
      <c r="C747" s="14"/>
      <c r="E747" t="str">
        <f>IF(ISNA(VLOOKUP(C747,P:Q,2,0)),"",VLOOKUP(C747,P:Q,2,0))</f>
        <v/>
      </c>
      <c r="F747" s="15" t="str">
        <f>IF(ISNA(VLOOKUP(C747,P:R,3,0)),"",VLOOKUP(C747,P:R,3,0))</f>
        <v/>
      </c>
      <c r="G747">
        <f>ROUND(IF(D747&gt;0,0,ABS(D747)),2)</f>
        <v>0</v>
      </c>
      <c r="H747">
        <f>ROUND(IF(D747&gt;0,D747,),2)</f>
        <v>0</v>
      </c>
      <c r="K747" s="7"/>
      <c r="L747" s="9"/>
      <c r="M747" s="9"/>
      <c r="N747" s="7"/>
      <c r="P747" s="18"/>
      <c r="Q747" s="2"/>
      <c r="R747" s="2"/>
      <c r="AF747" s="14"/>
    </row>
    <row r="748" spans="1:32" customFormat="1" x14ac:dyDescent="0.25">
      <c r="A748" s="9"/>
      <c r="C748" s="14"/>
      <c r="E748" t="str">
        <f>IF(ISNA(VLOOKUP(C748,P:Q,2,0)),"",VLOOKUP(C748,P:Q,2,0))</f>
        <v/>
      </c>
      <c r="F748" s="15" t="str">
        <f>IF(ISNA(VLOOKUP(C748,P:R,3,0)),"",VLOOKUP(C748,P:R,3,0))</f>
        <v/>
      </c>
      <c r="G748">
        <f>ROUND(IF(D748&gt;0,0,ABS(D748)),2)</f>
        <v>0</v>
      </c>
      <c r="H748">
        <f>ROUND(IF(D748&gt;0,D748,),2)</f>
        <v>0</v>
      </c>
      <c r="K748" s="7"/>
      <c r="L748" s="9"/>
      <c r="M748" s="9"/>
      <c r="N748" s="7"/>
      <c r="P748" s="18"/>
      <c r="Q748" s="2"/>
      <c r="R748" s="2"/>
      <c r="AF748" s="14"/>
    </row>
    <row r="749" spans="1:32" customFormat="1" x14ac:dyDescent="0.25">
      <c r="A749" s="9"/>
      <c r="C749" s="14"/>
      <c r="E749" t="str">
        <f>IF(ISNA(VLOOKUP(C749,P:Q,2,0)),"",VLOOKUP(C749,P:Q,2,0))</f>
        <v/>
      </c>
      <c r="F749" s="15" t="str">
        <f>IF(ISNA(VLOOKUP(C749,P:R,3,0)),"",VLOOKUP(C749,P:R,3,0))</f>
        <v/>
      </c>
      <c r="G749">
        <f>ROUND(IF(D749&gt;0,0,ABS(D749)),2)</f>
        <v>0</v>
      </c>
      <c r="H749">
        <f>ROUND(IF(D749&gt;0,D749,),2)</f>
        <v>0</v>
      </c>
      <c r="K749" s="7"/>
      <c r="L749" s="9"/>
      <c r="M749" s="9"/>
      <c r="N749" s="7"/>
      <c r="P749" s="18"/>
      <c r="Q749" s="2"/>
      <c r="R749" s="2"/>
      <c r="AF749" s="14"/>
    </row>
    <row r="750" spans="1:32" customFormat="1" x14ac:dyDescent="0.25">
      <c r="A750" s="9"/>
      <c r="C750" s="14"/>
      <c r="E750" t="str">
        <f>IF(ISNA(VLOOKUP(C750,P:Q,2,0)),"",VLOOKUP(C750,P:Q,2,0))</f>
        <v/>
      </c>
      <c r="F750" s="15" t="str">
        <f>IF(ISNA(VLOOKUP(C750,P:R,3,0)),"",VLOOKUP(C750,P:R,3,0))</f>
        <v/>
      </c>
      <c r="G750">
        <f>ROUND(IF(D750&gt;0,0,ABS(D750)),2)</f>
        <v>0</v>
      </c>
      <c r="H750">
        <f>ROUND(IF(D750&gt;0,D750,),2)</f>
        <v>0</v>
      </c>
      <c r="K750" s="7"/>
      <c r="L750" s="9"/>
      <c r="M750" s="9"/>
      <c r="N750" s="7"/>
      <c r="P750" s="18"/>
      <c r="Q750" s="2"/>
      <c r="R750" s="2"/>
      <c r="AF750" s="14"/>
    </row>
    <row r="751" spans="1:32" customFormat="1" x14ac:dyDescent="0.25">
      <c r="A751" s="9"/>
      <c r="C751" s="14"/>
      <c r="E751" t="str">
        <f>IF(ISNA(VLOOKUP(C751,P:Q,2,0)),"",VLOOKUP(C751,P:Q,2,0))</f>
        <v/>
      </c>
      <c r="F751" s="15" t="str">
        <f>IF(ISNA(VLOOKUP(C751,P:R,3,0)),"",VLOOKUP(C751,P:R,3,0))</f>
        <v/>
      </c>
      <c r="G751">
        <f>ROUND(IF(D751&gt;0,0,ABS(D751)),2)</f>
        <v>0</v>
      </c>
      <c r="H751">
        <f>ROUND(IF(D751&gt;0,D751,),2)</f>
        <v>0</v>
      </c>
      <c r="K751" s="7"/>
      <c r="L751" s="9"/>
      <c r="M751" s="9"/>
      <c r="N751" s="7"/>
      <c r="P751" s="18"/>
      <c r="Q751" s="2"/>
      <c r="R751" s="2"/>
      <c r="AF751" s="14"/>
    </row>
    <row r="752" spans="1:32" customFormat="1" x14ac:dyDescent="0.25">
      <c r="A752" s="9"/>
      <c r="C752" s="14"/>
      <c r="E752" t="str">
        <f>IF(ISNA(VLOOKUP(C752,P:Q,2,0)),"",VLOOKUP(C752,P:Q,2,0))</f>
        <v/>
      </c>
      <c r="F752" s="15" t="str">
        <f>IF(ISNA(VLOOKUP(C752,P:R,3,0)),"",VLOOKUP(C752,P:R,3,0))</f>
        <v/>
      </c>
      <c r="G752">
        <f>ROUND(IF(D752&gt;0,0,ABS(D752)),2)</f>
        <v>0</v>
      </c>
      <c r="H752">
        <f>ROUND(IF(D752&gt;0,D752,),2)</f>
        <v>0</v>
      </c>
      <c r="K752" s="7"/>
      <c r="L752" s="9"/>
      <c r="M752" s="9"/>
      <c r="N752" s="7"/>
      <c r="P752" s="18"/>
      <c r="Q752" s="2"/>
      <c r="R752" s="2"/>
      <c r="AF752" s="14"/>
    </row>
    <row r="753" spans="1:32" customFormat="1" x14ac:dyDescent="0.25">
      <c r="A753" s="9"/>
      <c r="C753" s="14"/>
      <c r="E753" t="str">
        <f>IF(ISNA(VLOOKUP(C753,P:Q,2,0)),"",VLOOKUP(C753,P:Q,2,0))</f>
        <v/>
      </c>
      <c r="F753" s="15" t="str">
        <f>IF(ISNA(VLOOKUP(C753,P:R,3,0)),"",VLOOKUP(C753,P:R,3,0))</f>
        <v/>
      </c>
      <c r="G753">
        <f>ROUND(IF(D753&gt;0,0,ABS(D753)),2)</f>
        <v>0</v>
      </c>
      <c r="H753">
        <f>ROUND(IF(D753&gt;0,D753,),2)</f>
        <v>0</v>
      </c>
      <c r="K753" s="7"/>
      <c r="L753" s="9"/>
      <c r="M753" s="9"/>
      <c r="N753" s="7"/>
      <c r="P753" s="18"/>
      <c r="Q753" s="2"/>
      <c r="R753" s="2"/>
      <c r="AF753" s="14"/>
    </row>
    <row r="754" spans="1:32" customFormat="1" x14ac:dyDescent="0.25">
      <c r="A754" s="9"/>
      <c r="C754" s="14"/>
      <c r="E754" t="str">
        <f>IF(ISNA(VLOOKUP(C754,P:Q,2,0)),"",VLOOKUP(C754,P:Q,2,0))</f>
        <v/>
      </c>
      <c r="F754" s="15" t="str">
        <f>IF(ISNA(VLOOKUP(C754,P:R,3,0)),"",VLOOKUP(C754,P:R,3,0))</f>
        <v/>
      </c>
      <c r="G754">
        <f>ROUND(IF(D754&gt;0,0,ABS(D754)),2)</f>
        <v>0</v>
      </c>
      <c r="H754">
        <f>ROUND(IF(D754&gt;0,D754,),2)</f>
        <v>0</v>
      </c>
      <c r="K754" s="7"/>
      <c r="L754" s="9"/>
      <c r="M754" s="9"/>
      <c r="N754" s="7"/>
      <c r="P754" s="18"/>
      <c r="Q754" s="2"/>
      <c r="R754" s="2"/>
      <c r="AF754" s="14"/>
    </row>
    <row r="755" spans="1:32" customFormat="1" x14ac:dyDescent="0.25">
      <c r="A755" s="9"/>
      <c r="C755" s="14"/>
      <c r="E755" t="str">
        <f>IF(ISNA(VLOOKUP(C755,P:Q,2,0)),"",VLOOKUP(C755,P:Q,2,0))</f>
        <v/>
      </c>
      <c r="F755" s="15" t="str">
        <f>IF(ISNA(VLOOKUP(C755,P:R,3,0)),"",VLOOKUP(C755,P:R,3,0))</f>
        <v/>
      </c>
      <c r="G755">
        <f>ROUND(IF(D755&gt;0,0,ABS(D755)),2)</f>
        <v>0</v>
      </c>
      <c r="H755">
        <f>ROUND(IF(D755&gt;0,D755,),2)</f>
        <v>0</v>
      </c>
      <c r="K755" s="7"/>
      <c r="L755" s="9"/>
      <c r="M755" s="9"/>
      <c r="N755" s="7"/>
      <c r="P755" s="18"/>
      <c r="Q755" s="2"/>
      <c r="R755" s="2"/>
      <c r="AF755" s="14"/>
    </row>
    <row r="756" spans="1:32" customFormat="1" x14ac:dyDescent="0.25">
      <c r="A756" s="9"/>
      <c r="C756" s="14"/>
      <c r="E756" t="str">
        <f>IF(ISNA(VLOOKUP(C756,P:Q,2,0)),"",VLOOKUP(C756,P:Q,2,0))</f>
        <v/>
      </c>
      <c r="F756" s="15" t="str">
        <f>IF(ISNA(VLOOKUP(C756,P:R,3,0)),"",VLOOKUP(C756,P:R,3,0))</f>
        <v/>
      </c>
      <c r="G756">
        <f>ROUND(IF(D756&gt;0,0,ABS(D756)),2)</f>
        <v>0</v>
      </c>
      <c r="H756">
        <f>ROUND(IF(D756&gt;0,D756,),2)</f>
        <v>0</v>
      </c>
      <c r="K756" s="7"/>
      <c r="L756" s="9"/>
      <c r="M756" s="9"/>
      <c r="N756" s="7"/>
      <c r="P756" s="18"/>
      <c r="Q756" s="2"/>
      <c r="R756" s="2"/>
      <c r="AF756" s="14"/>
    </row>
    <row r="757" spans="1:32" customFormat="1" x14ac:dyDescent="0.25">
      <c r="A757" s="9"/>
      <c r="C757" s="14"/>
      <c r="E757" t="str">
        <f>IF(ISNA(VLOOKUP(C757,P:Q,2,0)),"",VLOOKUP(C757,P:Q,2,0))</f>
        <v/>
      </c>
      <c r="F757" s="15" t="str">
        <f>IF(ISNA(VLOOKUP(C757,P:R,3,0)),"",VLOOKUP(C757,P:R,3,0))</f>
        <v/>
      </c>
      <c r="G757">
        <f>ROUND(IF(D757&gt;0,0,ABS(D757)),2)</f>
        <v>0</v>
      </c>
      <c r="H757">
        <f>ROUND(IF(D757&gt;0,D757,),2)</f>
        <v>0</v>
      </c>
      <c r="K757" s="7"/>
      <c r="L757" s="9"/>
      <c r="M757" s="9"/>
      <c r="N757" s="7"/>
      <c r="P757" s="18"/>
      <c r="Q757" s="2"/>
      <c r="R757" s="2"/>
      <c r="AF757" s="14"/>
    </row>
    <row r="758" spans="1:32" customFormat="1" x14ac:dyDescent="0.25">
      <c r="A758" s="9"/>
      <c r="C758" s="14"/>
      <c r="E758" t="str">
        <f>IF(ISNA(VLOOKUP(C758,P:Q,2,0)),"",VLOOKUP(C758,P:Q,2,0))</f>
        <v/>
      </c>
      <c r="F758" s="15" t="str">
        <f>IF(ISNA(VLOOKUP(C758,P:R,3,0)),"",VLOOKUP(C758,P:R,3,0))</f>
        <v/>
      </c>
      <c r="G758">
        <f>ROUND(IF(D758&gt;0,0,ABS(D758)),2)</f>
        <v>0</v>
      </c>
      <c r="H758">
        <f>ROUND(IF(D758&gt;0,D758,),2)</f>
        <v>0</v>
      </c>
      <c r="K758" s="7"/>
      <c r="L758" s="9"/>
      <c r="M758" s="9"/>
      <c r="N758" s="7"/>
      <c r="P758" s="18"/>
      <c r="Q758" s="2"/>
      <c r="R758" s="2"/>
      <c r="AF758" s="14"/>
    </row>
    <row r="759" spans="1:32" customFormat="1" x14ac:dyDescent="0.25">
      <c r="A759" s="9"/>
      <c r="C759" s="14"/>
      <c r="E759" t="str">
        <f>IF(ISNA(VLOOKUP(C759,P:Q,2,0)),"",VLOOKUP(C759,P:Q,2,0))</f>
        <v/>
      </c>
      <c r="F759" s="15" t="str">
        <f>IF(ISNA(VLOOKUP(C759,P:R,3,0)),"",VLOOKUP(C759,P:R,3,0))</f>
        <v/>
      </c>
      <c r="G759">
        <f>ROUND(IF(D759&gt;0,0,ABS(D759)),2)</f>
        <v>0</v>
      </c>
      <c r="H759">
        <f>ROUND(IF(D759&gt;0,D759,),2)</f>
        <v>0</v>
      </c>
      <c r="K759" s="7"/>
      <c r="L759" s="9"/>
      <c r="M759" s="9"/>
      <c r="N759" s="7"/>
      <c r="P759" s="18"/>
      <c r="Q759" s="2"/>
      <c r="R759" s="2"/>
      <c r="AF759" s="14"/>
    </row>
    <row r="760" spans="1:32" customFormat="1" x14ac:dyDescent="0.25">
      <c r="A760" s="9"/>
      <c r="C760" s="14"/>
      <c r="E760" t="str">
        <f>IF(ISNA(VLOOKUP(C760,P:Q,2,0)),"",VLOOKUP(C760,P:Q,2,0))</f>
        <v/>
      </c>
      <c r="F760" s="15" t="str">
        <f>IF(ISNA(VLOOKUP(C760,P:R,3,0)),"",VLOOKUP(C760,P:R,3,0))</f>
        <v/>
      </c>
      <c r="G760">
        <f>ROUND(IF(D760&gt;0,0,ABS(D760)),2)</f>
        <v>0</v>
      </c>
      <c r="H760">
        <f>ROUND(IF(D760&gt;0,D760,),2)</f>
        <v>0</v>
      </c>
      <c r="K760" s="7"/>
      <c r="L760" s="9"/>
      <c r="M760" s="9"/>
      <c r="N760" s="7"/>
      <c r="P760" s="18"/>
      <c r="Q760" s="2"/>
      <c r="R760" s="2"/>
      <c r="AF760" s="14"/>
    </row>
    <row r="761" spans="1:32" customFormat="1" x14ac:dyDescent="0.25">
      <c r="A761" s="9"/>
      <c r="C761" s="14"/>
      <c r="E761" t="str">
        <f>IF(ISNA(VLOOKUP(C761,P:Q,2,0)),"",VLOOKUP(C761,P:Q,2,0))</f>
        <v/>
      </c>
      <c r="F761" s="15" t="str">
        <f>IF(ISNA(VLOOKUP(C761,P:R,3,0)),"",VLOOKUP(C761,P:R,3,0))</f>
        <v/>
      </c>
      <c r="G761">
        <f>ROUND(IF(D761&gt;0,0,ABS(D761)),2)</f>
        <v>0</v>
      </c>
      <c r="H761">
        <f>ROUND(IF(D761&gt;0,D761,),2)</f>
        <v>0</v>
      </c>
      <c r="K761" s="7"/>
      <c r="L761" s="9"/>
      <c r="M761" s="9"/>
      <c r="N761" s="7"/>
      <c r="P761" s="18"/>
      <c r="Q761" s="2"/>
      <c r="R761" s="2"/>
      <c r="AF761" s="14"/>
    </row>
    <row r="762" spans="1:32" customFormat="1" x14ac:dyDescent="0.25">
      <c r="A762" s="9"/>
      <c r="C762" s="14"/>
      <c r="E762" t="str">
        <f>IF(ISNA(VLOOKUP(C762,P:Q,2,0)),"",VLOOKUP(C762,P:Q,2,0))</f>
        <v/>
      </c>
      <c r="F762" s="15" t="str">
        <f>IF(ISNA(VLOOKUP(C762,P:R,3,0)),"",VLOOKUP(C762,P:R,3,0))</f>
        <v/>
      </c>
      <c r="G762">
        <f>ROUND(IF(D762&gt;0,0,ABS(D762)),2)</f>
        <v>0</v>
      </c>
      <c r="H762">
        <f>ROUND(IF(D762&gt;0,D762,),2)</f>
        <v>0</v>
      </c>
      <c r="K762" s="7"/>
      <c r="L762" s="9"/>
      <c r="M762" s="9"/>
      <c r="N762" s="7"/>
      <c r="P762" s="18"/>
      <c r="Q762" s="2"/>
      <c r="R762" s="2"/>
      <c r="AF762" s="14"/>
    </row>
    <row r="763" spans="1:32" customFormat="1" x14ac:dyDescent="0.25">
      <c r="A763" s="9"/>
      <c r="C763" s="14"/>
      <c r="E763" t="str">
        <f>IF(ISNA(VLOOKUP(C763,P:Q,2,0)),"",VLOOKUP(C763,P:Q,2,0))</f>
        <v/>
      </c>
      <c r="F763" s="15" t="str">
        <f>IF(ISNA(VLOOKUP(C763,P:R,3,0)),"",VLOOKUP(C763,P:R,3,0))</f>
        <v/>
      </c>
      <c r="G763">
        <f>ROUND(IF(D763&gt;0,0,ABS(D763)),2)</f>
        <v>0</v>
      </c>
      <c r="H763">
        <f>ROUND(IF(D763&gt;0,D763,),2)</f>
        <v>0</v>
      </c>
      <c r="K763" s="7"/>
      <c r="L763" s="9"/>
      <c r="M763" s="9"/>
      <c r="N763" s="7"/>
      <c r="P763" s="18"/>
      <c r="Q763" s="2"/>
      <c r="R763" s="2"/>
      <c r="AF763" s="14"/>
    </row>
    <row r="764" spans="1:32" customFormat="1" x14ac:dyDescent="0.25">
      <c r="A764" s="9"/>
      <c r="C764" s="14"/>
      <c r="E764" t="str">
        <f>IF(ISNA(VLOOKUP(C764,P:Q,2,0)),"",VLOOKUP(C764,P:Q,2,0))</f>
        <v/>
      </c>
      <c r="F764" s="15" t="str">
        <f>IF(ISNA(VLOOKUP(C764,P:R,3,0)),"",VLOOKUP(C764,P:R,3,0))</f>
        <v/>
      </c>
      <c r="G764">
        <f>ROUND(IF(D764&gt;0,0,ABS(D764)),2)</f>
        <v>0</v>
      </c>
      <c r="H764">
        <f>ROUND(IF(D764&gt;0,D764,),2)</f>
        <v>0</v>
      </c>
      <c r="K764" s="7"/>
      <c r="L764" s="9"/>
      <c r="M764" s="9"/>
      <c r="N764" s="7"/>
      <c r="P764" s="18"/>
      <c r="Q764" s="2"/>
      <c r="R764" s="2"/>
      <c r="AF764" s="14"/>
    </row>
    <row r="765" spans="1:32" customFormat="1" x14ac:dyDescent="0.25">
      <c r="A765" s="9"/>
      <c r="C765" s="14"/>
      <c r="E765" t="str">
        <f>IF(ISNA(VLOOKUP(C765,P:Q,2,0)),"",VLOOKUP(C765,P:Q,2,0))</f>
        <v/>
      </c>
      <c r="F765" s="15" t="str">
        <f>IF(ISNA(VLOOKUP(C765,P:R,3,0)),"",VLOOKUP(C765,P:R,3,0))</f>
        <v/>
      </c>
      <c r="G765">
        <f>ROUND(IF(D765&gt;0,0,ABS(D765)),2)</f>
        <v>0</v>
      </c>
      <c r="H765">
        <f>ROUND(IF(D765&gt;0,D765,),2)</f>
        <v>0</v>
      </c>
      <c r="K765" s="7"/>
      <c r="L765" s="9"/>
      <c r="M765" s="9"/>
      <c r="N765" s="7"/>
      <c r="P765" s="18"/>
      <c r="Q765" s="2"/>
      <c r="R765" s="2"/>
      <c r="AF765" s="14"/>
    </row>
    <row r="766" spans="1:32" customFormat="1" x14ac:dyDescent="0.25">
      <c r="A766" s="9"/>
      <c r="C766" s="14"/>
      <c r="E766" t="str">
        <f>IF(ISNA(VLOOKUP(C766,P:Q,2,0)),"",VLOOKUP(C766,P:Q,2,0))</f>
        <v/>
      </c>
      <c r="F766" s="15" t="str">
        <f>IF(ISNA(VLOOKUP(C766,P:R,3,0)),"",VLOOKUP(C766,P:R,3,0))</f>
        <v/>
      </c>
      <c r="G766">
        <f>ROUND(IF(D766&gt;0,0,ABS(D766)),2)</f>
        <v>0</v>
      </c>
      <c r="H766">
        <f>ROUND(IF(D766&gt;0,D766,),2)</f>
        <v>0</v>
      </c>
      <c r="K766" s="7"/>
      <c r="L766" s="9"/>
      <c r="M766" s="9"/>
      <c r="N766" s="7"/>
      <c r="P766" s="18"/>
      <c r="Q766" s="2"/>
      <c r="R766" s="2"/>
      <c r="AF766" s="14"/>
    </row>
    <row r="767" spans="1:32" customFormat="1" x14ac:dyDescent="0.25">
      <c r="A767" s="9"/>
      <c r="C767" s="14"/>
      <c r="E767" t="str">
        <f>IF(ISNA(VLOOKUP(C767,P:Q,2,0)),"",VLOOKUP(C767,P:Q,2,0))</f>
        <v/>
      </c>
      <c r="F767" s="15" t="str">
        <f>IF(ISNA(VLOOKUP(C767,P:R,3,0)),"",VLOOKUP(C767,P:R,3,0))</f>
        <v/>
      </c>
      <c r="G767">
        <f>ROUND(IF(D767&gt;0,0,ABS(D767)),2)</f>
        <v>0</v>
      </c>
      <c r="H767">
        <f>ROUND(IF(D767&gt;0,D767,),2)</f>
        <v>0</v>
      </c>
      <c r="K767" s="7"/>
      <c r="L767" s="9"/>
      <c r="M767" s="9"/>
      <c r="N767" s="7"/>
      <c r="P767" s="18"/>
      <c r="Q767" s="2"/>
      <c r="R767" s="2"/>
      <c r="AF767" s="14"/>
    </row>
    <row r="768" spans="1:32" customFormat="1" x14ac:dyDescent="0.25">
      <c r="A768" s="9"/>
      <c r="C768" s="14"/>
      <c r="E768" t="str">
        <f>IF(ISNA(VLOOKUP(C768,P:Q,2,0)),"",VLOOKUP(C768,P:Q,2,0))</f>
        <v/>
      </c>
      <c r="F768" s="15" t="str">
        <f>IF(ISNA(VLOOKUP(C768,P:R,3,0)),"",VLOOKUP(C768,P:R,3,0))</f>
        <v/>
      </c>
      <c r="G768">
        <f>ROUND(IF(D768&gt;0,0,ABS(D768)),2)</f>
        <v>0</v>
      </c>
      <c r="H768">
        <f>ROUND(IF(D768&gt;0,D768,),2)</f>
        <v>0</v>
      </c>
      <c r="K768" s="7"/>
      <c r="L768" s="9"/>
      <c r="M768" s="9"/>
      <c r="N768" s="7"/>
      <c r="P768" s="18"/>
      <c r="Q768" s="2"/>
      <c r="R768" s="2"/>
      <c r="AF768" s="14"/>
    </row>
    <row r="769" spans="1:32" customFormat="1" x14ac:dyDescent="0.25">
      <c r="A769" s="9"/>
      <c r="C769" s="14"/>
      <c r="E769" t="str">
        <f>IF(ISNA(VLOOKUP(C769,P:Q,2,0)),"",VLOOKUP(C769,P:Q,2,0))</f>
        <v/>
      </c>
      <c r="F769" s="15" t="str">
        <f>IF(ISNA(VLOOKUP(C769,P:R,3,0)),"",VLOOKUP(C769,P:R,3,0))</f>
        <v/>
      </c>
      <c r="G769">
        <f>ROUND(IF(D769&gt;0,0,ABS(D769)),2)</f>
        <v>0</v>
      </c>
      <c r="H769">
        <f>ROUND(IF(D769&gt;0,D769,),2)</f>
        <v>0</v>
      </c>
      <c r="K769" s="7"/>
      <c r="L769" s="9"/>
      <c r="M769" s="9"/>
      <c r="N769" s="7"/>
      <c r="P769" s="18"/>
      <c r="Q769" s="2"/>
      <c r="R769" s="2"/>
      <c r="AF769" s="14"/>
    </row>
    <row r="770" spans="1:32" customFormat="1" x14ac:dyDescent="0.25">
      <c r="A770" s="9"/>
      <c r="C770" s="14"/>
      <c r="E770" t="str">
        <f>IF(ISNA(VLOOKUP(C770,P:Q,2,0)),"",VLOOKUP(C770,P:Q,2,0))</f>
        <v/>
      </c>
      <c r="F770" s="15" t="str">
        <f>IF(ISNA(VLOOKUP(C770,P:R,3,0)),"",VLOOKUP(C770,P:R,3,0))</f>
        <v/>
      </c>
      <c r="G770">
        <f>ROUND(IF(D770&gt;0,0,ABS(D770)),2)</f>
        <v>0</v>
      </c>
      <c r="H770">
        <f>ROUND(IF(D770&gt;0,D770,),2)</f>
        <v>0</v>
      </c>
      <c r="K770" s="7"/>
      <c r="L770" s="9"/>
      <c r="M770" s="9"/>
      <c r="N770" s="7"/>
      <c r="P770" s="18"/>
      <c r="Q770" s="2"/>
      <c r="R770" s="2"/>
      <c r="AF770" s="14"/>
    </row>
    <row r="771" spans="1:32" customFormat="1" x14ac:dyDescent="0.25">
      <c r="A771" s="9"/>
      <c r="C771" s="14"/>
      <c r="E771" t="str">
        <f>IF(ISNA(VLOOKUP(C771,P:Q,2,0)),"",VLOOKUP(C771,P:Q,2,0))</f>
        <v/>
      </c>
      <c r="F771" s="15" t="str">
        <f>IF(ISNA(VLOOKUP(C771,P:R,3,0)),"",VLOOKUP(C771,P:R,3,0))</f>
        <v/>
      </c>
      <c r="G771">
        <f>ROUND(IF(D771&gt;0,0,ABS(D771)),2)</f>
        <v>0</v>
      </c>
      <c r="H771">
        <f>ROUND(IF(D771&gt;0,D771,),2)</f>
        <v>0</v>
      </c>
      <c r="K771" s="7"/>
      <c r="L771" s="9"/>
      <c r="M771" s="9"/>
      <c r="N771" s="7"/>
      <c r="P771" s="18"/>
      <c r="Q771" s="2"/>
      <c r="R771" s="2"/>
      <c r="AF771" s="14"/>
    </row>
    <row r="772" spans="1:32" customFormat="1" x14ac:dyDescent="0.25">
      <c r="A772" s="9"/>
      <c r="C772" s="14"/>
      <c r="E772" t="str">
        <f>IF(ISNA(VLOOKUP(C772,P:Q,2,0)),"",VLOOKUP(C772,P:Q,2,0))</f>
        <v/>
      </c>
      <c r="F772" s="15" t="str">
        <f>IF(ISNA(VLOOKUP(C772,P:R,3,0)),"",VLOOKUP(C772,P:R,3,0))</f>
        <v/>
      </c>
      <c r="G772">
        <f>ROUND(IF(D772&gt;0,0,ABS(D772)),2)</f>
        <v>0</v>
      </c>
      <c r="H772">
        <f>ROUND(IF(D772&gt;0,D772,),2)</f>
        <v>0</v>
      </c>
      <c r="K772" s="7"/>
      <c r="L772" s="9"/>
      <c r="M772" s="9"/>
      <c r="N772" s="7"/>
      <c r="P772" s="18"/>
      <c r="Q772" s="2"/>
      <c r="R772" s="2"/>
      <c r="AF772" s="14"/>
    </row>
    <row r="773" spans="1:32" customFormat="1" x14ac:dyDescent="0.25">
      <c r="A773" s="9"/>
      <c r="C773" s="14"/>
      <c r="E773" t="str">
        <f>IF(ISNA(VLOOKUP(C773,P:Q,2,0)),"",VLOOKUP(C773,P:Q,2,0))</f>
        <v/>
      </c>
      <c r="F773" s="15" t="str">
        <f>IF(ISNA(VLOOKUP(C773,P:R,3,0)),"",VLOOKUP(C773,P:R,3,0))</f>
        <v/>
      </c>
      <c r="G773">
        <f>ROUND(IF(D773&gt;0,0,ABS(D773)),2)</f>
        <v>0</v>
      </c>
      <c r="H773">
        <f>ROUND(IF(D773&gt;0,D773,),2)</f>
        <v>0</v>
      </c>
      <c r="K773" s="7"/>
      <c r="L773" s="9"/>
      <c r="M773" s="9"/>
      <c r="N773" s="7"/>
      <c r="P773" s="18"/>
      <c r="Q773" s="2"/>
      <c r="R773" s="2"/>
      <c r="AF773" s="14"/>
    </row>
    <row r="774" spans="1:32" customFormat="1" x14ac:dyDescent="0.25">
      <c r="A774" s="9"/>
      <c r="C774" s="14"/>
      <c r="E774" t="str">
        <f>IF(ISNA(VLOOKUP(C774,P:Q,2,0)),"",VLOOKUP(C774,P:Q,2,0))</f>
        <v/>
      </c>
      <c r="F774" s="15" t="str">
        <f>IF(ISNA(VLOOKUP(C774,P:R,3,0)),"",VLOOKUP(C774,P:R,3,0))</f>
        <v/>
      </c>
      <c r="G774">
        <f>ROUND(IF(D774&gt;0,0,ABS(D774)),2)</f>
        <v>0</v>
      </c>
      <c r="H774">
        <f>ROUND(IF(D774&gt;0,D774,),2)</f>
        <v>0</v>
      </c>
      <c r="K774" s="7"/>
      <c r="L774" s="9"/>
      <c r="M774" s="9"/>
      <c r="N774" s="7"/>
      <c r="P774" s="18"/>
      <c r="Q774" s="2"/>
      <c r="R774" s="2"/>
      <c r="AF774" s="14"/>
    </row>
    <row r="775" spans="1:32" customFormat="1" x14ac:dyDescent="0.25">
      <c r="A775" s="9"/>
      <c r="C775" s="14"/>
      <c r="E775" t="str">
        <f>IF(ISNA(VLOOKUP(C775,P:Q,2,0)),"",VLOOKUP(C775,P:Q,2,0))</f>
        <v/>
      </c>
      <c r="F775" s="15" t="str">
        <f>IF(ISNA(VLOOKUP(C775,P:R,3,0)),"",VLOOKUP(C775,P:R,3,0))</f>
        <v/>
      </c>
      <c r="G775">
        <f>ROUND(IF(D775&gt;0,0,ABS(D775)),2)</f>
        <v>0</v>
      </c>
      <c r="H775">
        <f>ROUND(IF(D775&gt;0,D775,),2)</f>
        <v>0</v>
      </c>
      <c r="K775" s="7"/>
      <c r="L775" s="9"/>
      <c r="M775" s="9"/>
      <c r="N775" s="7"/>
      <c r="P775" s="18"/>
      <c r="Q775" s="2"/>
      <c r="R775" s="2"/>
      <c r="AF775" s="14"/>
    </row>
    <row r="776" spans="1:32" customFormat="1" x14ac:dyDescent="0.25">
      <c r="A776" s="9"/>
      <c r="C776" s="14"/>
      <c r="E776" t="str">
        <f>IF(ISNA(VLOOKUP(C776,P:Q,2,0)),"",VLOOKUP(C776,P:Q,2,0))</f>
        <v/>
      </c>
      <c r="F776" s="15" t="str">
        <f>IF(ISNA(VLOOKUP(C776,P:R,3,0)),"",VLOOKUP(C776,P:R,3,0))</f>
        <v/>
      </c>
      <c r="G776">
        <f>ROUND(IF(D776&gt;0,0,ABS(D776)),2)</f>
        <v>0</v>
      </c>
      <c r="H776">
        <f>ROUND(IF(D776&gt;0,D776,),2)</f>
        <v>0</v>
      </c>
      <c r="K776" s="7"/>
      <c r="L776" s="9"/>
      <c r="M776" s="9"/>
      <c r="N776" s="7"/>
      <c r="P776" s="18"/>
      <c r="Q776" s="2"/>
      <c r="R776" s="2"/>
      <c r="AF776" s="14"/>
    </row>
    <row r="777" spans="1:32" customFormat="1" x14ac:dyDescent="0.25">
      <c r="A777" s="9"/>
      <c r="C777" s="14"/>
      <c r="E777" t="str">
        <f>IF(ISNA(VLOOKUP(C777,P:Q,2,0)),"",VLOOKUP(C777,P:Q,2,0))</f>
        <v/>
      </c>
      <c r="F777" s="15" t="str">
        <f>IF(ISNA(VLOOKUP(C777,P:R,3,0)),"",VLOOKUP(C777,P:R,3,0))</f>
        <v/>
      </c>
      <c r="G777">
        <f>ROUND(IF(D777&gt;0,0,ABS(D777)),2)</f>
        <v>0</v>
      </c>
      <c r="H777">
        <f>ROUND(IF(D777&gt;0,D777,),2)</f>
        <v>0</v>
      </c>
      <c r="K777" s="7"/>
      <c r="L777" s="9"/>
      <c r="M777" s="9"/>
      <c r="N777" s="7"/>
      <c r="P777" s="18"/>
      <c r="Q777" s="2"/>
      <c r="R777" s="2"/>
      <c r="AF777" s="14"/>
    </row>
    <row r="778" spans="1:32" customFormat="1" x14ac:dyDescent="0.25">
      <c r="A778" s="9"/>
      <c r="C778" s="14"/>
      <c r="E778" t="str">
        <f>IF(ISNA(VLOOKUP(C778,P:Q,2,0)),"",VLOOKUP(C778,P:Q,2,0))</f>
        <v/>
      </c>
      <c r="F778" s="15" t="str">
        <f>IF(ISNA(VLOOKUP(C778,P:R,3,0)),"",VLOOKUP(C778,P:R,3,0))</f>
        <v/>
      </c>
      <c r="G778">
        <f>ROUND(IF(D778&gt;0,0,ABS(D778)),2)</f>
        <v>0</v>
      </c>
      <c r="H778">
        <f>ROUND(IF(D778&gt;0,D778,),2)</f>
        <v>0</v>
      </c>
      <c r="K778" s="7"/>
      <c r="L778" s="9"/>
      <c r="M778" s="9"/>
      <c r="N778" s="7"/>
      <c r="P778" s="18"/>
      <c r="Q778" s="2"/>
      <c r="R778" s="2"/>
      <c r="AF778" s="14"/>
    </row>
    <row r="779" spans="1:32" customFormat="1" x14ac:dyDescent="0.25">
      <c r="A779" s="9"/>
      <c r="C779" s="14"/>
      <c r="E779" t="str">
        <f>IF(ISNA(VLOOKUP(C779,P:Q,2,0)),"",VLOOKUP(C779,P:Q,2,0))</f>
        <v/>
      </c>
      <c r="F779" s="15" t="str">
        <f>IF(ISNA(VLOOKUP(C779,P:R,3,0)),"",VLOOKUP(C779,P:R,3,0))</f>
        <v/>
      </c>
      <c r="G779">
        <f>ROUND(IF(D779&gt;0,0,ABS(D779)),2)</f>
        <v>0</v>
      </c>
      <c r="H779">
        <f>ROUND(IF(D779&gt;0,D779,),2)</f>
        <v>0</v>
      </c>
      <c r="K779" s="7"/>
      <c r="L779" s="9"/>
      <c r="M779" s="9"/>
      <c r="N779" s="7"/>
      <c r="P779" s="18"/>
      <c r="Q779" s="2"/>
      <c r="R779" s="2"/>
      <c r="AF779" s="14"/>
    </row>
    <row r="780" spans="1:32" customFormat="1" x14ac:dyDescent="0.25">
      <c r="A780" s="9"/>
      <c r="C780" s="14"/>
      <c r="E780" t="str">
        <f>IF(ISNA(VLOOKUP(C780,P:Q,2,0)),"",VLOOKUP(C780,P:Q,2,0))</f>
        <v/>
      </c>
      <c r="F780" s="15" t="str">
        <f>IF(ISNA(VLOOKUP(C780,P:R,3,0)),"",VLOOKUP(C780,P:R,3,0))</f>
        <v/>
      </c>
      <c r="G780">
        <f>ROUND(IF(D780&gt;0,0,ABS(D780)),2)</f>
        <v>0</v>
      </c>
      <c r="H780">
        <f>ROUND(IF(D780&gt;0,D780,),2)</f>
        <v>0</v>
      </c>
      <c r="K780" s="7"/>
      <c r="L780" s="9"/>
      <c r="M780" s="9"/>
      <c r="N780" s="7"/>
      <c r="P780" s="18"/>
      <c r="Q780" s="2"/>
      <c r="R780" s="2"/>
      <c r="AF780" s="14"/>
    </row>
    <row r="781" spans="1:32" customFormat="1" x14ac:dyDescent="0.25">
      <c r="A781" s="9"/>
      <c r="C781" s="14"/>
      <c r="E781" t="str">
        <f>IF(ISNA(VLOOKUP(C781,P:Q,2,0)),"",VLOOKUP(C781,P:Q,2,0))</f>
        <v/>
      </c>
      <c r="F781" s="15" t="str">
        <f>IF(ISNA(VLOOKUP(C781,P:R,3,0)),"",VLOOKUP(C781,P:R,3,0))</f>
        <v/>
      </c>
      <c r="G781">
        <f>ROUND(IF(D781&gt;0,0,ABS(D781)),2)</f>
        <v>0</v>
      </c>
      <c r="H781">
        <f>ROUND(IF(D781&gt;0,D781,),2)</f>
        <v>0</v>
      </c>
      <c r="K781" s="7"/>
      <c r="L781" s="9"/>
      <c r="M781" s="9"/>
      <c r="N781" s="7"/>
      <c r="P781" s="18"/>
      <c r="Q781" s="2"/>
      <c r="R781" s="2"/>
      <c r="AF781" s="14"/>
    </row>
    <row r="782" spans="1:32" customFormat="1" x14ac:dyDescent="0.25">
      <c r="A782" s="9"/>
      <c r="C782" s="14"/>
      <c r="E782" t="str">
        <f>IF(ISNA(VLOOKUP(C782,P:Q,2,0)),"",VLOOKUP(C782,P:Q,2,0))</f>
        <v/>
      </c>
      <c r="F782" s="15" t="str">
        <f>IF(ISNA(VLOOKUP(C782,P:R,3,0)),"",VLOOKUP(C782,P:R,3,0))</f>
        <v/>
      </c>
      <c r="G782">
        <f>ROUND(IF(D782&gt;0,0,ABS(D782)),2)</f>
        <v>0</v>
      </c>
      <c r="H782">
        <f>ROUND(IF(D782&gt;0,D782,),2)</f>
        <v>0</v>
      </c>
      <c r="K782" s="7"/>
      <c r="L782" s="9"/>
      <c r="M782" s="9"/>
      <c r="N782" s="7"/>
      <c r="P782" s="18"/>
      <c r="Q782" s="2"/>
      <c r="R782" s="2"/>
      <c r="AF782" s="14"/>
    </row>
    <row r="783" spans="1:32" customFormat="1" x14ac:dyDescent="0.25">
      <c r="A783" s="9"/>
      <c r="C783" s="14"/>
      <c r="E783" t="str">
        <f>IF(ISNA(VLOOKUP(C783,P:Q,2,0)),"",VLOOKUP(C783,P:Q,2,0))</f>
        <v/>
      </c>
      <c r="F783" s="15" t="str">
        <f>IF(ISNA(VLOOKUP(C783,P:R,3,0)),"",VLOOKUP(C783,P:R,3,0))</f>
        <v/>
      </c>
      <c r="G783">
        <f>ROUND(IF(D783&gt;0,0,ABS(D783)),2)</f>
        <v>0</v>
      </c>
      <c r="H783">
        <f>ROUND(IF(D783&gt;0,D783,),2)</f>
        <v>0</v>
      </c>
      <c r="K783" s="7"/>
      <c r="L783" s="9"/>
      <c r="M783" s="9"/>
      <c r="N783" s="7"/>
      <c r="P783" s="18"/>
      <c r="Q783" s="2"/>
      <c r="R783" s="2"/>
      <c r="AF783" s="14"/>
    </row>
    <row r="784" spans="1:32" customFormat="1" x14ac:dyDescent="0.25">
      <c r="A784" s="9"/>
      <c r="C784" s="14"/>
      <c r="E784" t="str">
        <f>IF(ISNA(VLOOKUP(C784,P:Q,2,0)),"",VLOOKUP(C784,P:Q,2,0))</f>
        <v/>
      </c>
      <c r="F784" s="15" t="str">
        <f>IF(ISNA(VLOOKUP(C784,P:R,3,0)),"",VLOOKUP(C784,P:R,3,0))</f>
        <v/>
      </c>
      <c r="G784">
        <f>ROUND(IF(D784&gt;0,0,ABS(D784)),2)</f>
        <v>0</v>
      </c>
      <c r="H784">
        <f>ROUND(IF(D784&gt;0,D784,),2)</f>
        <v>0</v>
      </c>
      <c r="K784" s="7"/>
      <c r="L784" s="9"/>
      <c r="M784" s="9"/>
      <c r="N784" s="7"/>
      <c r="P784" s="18"/>
      <c r="Q784" s="2"/>
      <c r="R784" s="2"/>
      <c r="AF784" s="14"/>
    </row>
    <row r="785" spans="1:32" customFormat="1" x14ac:dyDescent="0.25">
      <c r="A785" s="9"/>
      <c r="C785" s="14"/>
      <c r="E785" t="str">
        <f>IF(ISNA(VLOOKUP(C785,P:Q,2,0)),"",VLOOKUP(C785,P:Q,2,0))</f>
        <v/>
      </c>
      <c r="F785" s="15" t="str">
        <f>IF(ISNA(VLOOKUP(C785,P:R,3,0)),"",VLOOKUP(C785,P:R,3,0))</f>
        <v/>
      </c>
      <c r="G785">
        <f>ROUND(IF(D785&gt;0,0,ABS(D785)),2)</f>
        <v>0</v>
      </c>
      <c r="H785">
        <f>ROUND(IF(D785&gt;0,D785,),2)</f>
        <v>0</v>
      </c>
      <c r="K785" s="7"/>
      <c r="L785" s="9"/>
      <c r="M785" s="9"/>
      <c r="N785" s="7"/>
      <c r="P785" s="18"/>
      <c r="Q785" s="2"/>
      <c r="R785" s="2"/>
      <c r="AF785" s="14"/>
    </row>
    <row r="786" spans="1:32" customFormat="1" x14ac:dyDescent="0.25">
      <c r="A786" s="9"/>
      <c r="C786" s="14"/>
      <c r="E786" t="str">
        <f>IF(ISNA(VLOOKUP(C786,P:Q,2,0)),"",VLOOKUP(C786,P:Q,2,0))</f>
        <v/>
      </c>
      <c r="F786" s="15" t="str">
        <f>IF(ISNA(VLOOKUP(C786,P:R,3,0)),"",VLOOKUP(C786,P:R,3,0))</f>
        <v/>
      </c>
      <c r="G786">
        <f>ROUND(IF(D786&gt;0,0,ABS(D786)),2)</f>
        <v>0</v>
      </c>
      <c r="H786">
        <f>ROUND(IF(D786&gt;0,D786,),2)</f>
        <v>0</v>
      </c>
      <c r="K786" s="7"/>
      <c r="L786" s="9"/>
      <c r="M786" s="9"/>
      <c r="N786" s="7"/>
      <c r="P786" s="18"/>
      <c r="Q786" s="2"/>
      <c r="R786" s="2"/>
      <c r="AF786" s="14"/>
    </row>
    <row r="787" spans="1:32" customFormat="1" x14ac:dyDescent="0.25">
      <c r="A787" s="9"/>
      <c r="C787" s="14"/>
      <c r="E787" t="str">
        <f>IF(ISNA(VLOOKUP(C787,P:Q,2,0)),"",VLOOKUP(C787,P:Q,2,0))</f>
        <v/>
      </c>
      <c r="F787" s="15" t="str">
        <f>IF(ISNA(VLOOKUP(C787,P:R,3,0)),"",VLOOKUP(C787,P:R,3,0))</f>
        <v/>
      </c>
      <c r="G787">
        <f>ROUND(IF(D787&gt;0,0,ABS(D787)),2)</f>
        <v>0</v>
      </c>
      <c r="H787">
        <f>ROUND(IF(D787&gt;0,D787,),2)</f>
        <v>0</v>
      </c>
      <c r="K787" s="7"/>
      <c r="L787" s="9"/>
      <c r="M787" s="9"/>
      <c r="N787" s="7"/>
      <c r="P787" s="18"/>
      <c r="Q787" s="2"/>
      <c r="R787" s="2"/>
      <c r="AF787" s="14"/>
    </row>
    <row r="788" spans="1:32" customFormat="1" x14ac:dyDescent="0.25">
      <c r="A788" s="9"/>
      <c r="C788" s="14"/>
      <c r="E788" t="str">
        <f>IF(ISNA(VLOOKUP(C788,P:Q,2,0)),"",VLOOKUP(C788,P:Q,2,0))</f>
        <v/>
      </c>
      <c r="F788" s="15" t="str">
        <f>IF(ISNA(VLOOKUP(C788,P:R,3,0)),"",VLOOKUP(C788,P:R,3,0))</f>
        <v/>
      </c>
      <c r="G788">
        <f>ROUND(IF(D788&gt;0,0,ABS(D788)),2)</f>
        <v>0</v>
      </c>
      <c r="H788">
        <f>ROUND(IF(D788&gt;0,D788,),2)</f>
        <v>0</v>
      </c>
      <c r="K788" s="7"/>
      <c r="L788" s="9"/>
      <c r="M788" s="9"/>
      <c r="N788" s="7"/>
      <c r="P788" s="18"/>
      <c r="Q788" s="2"/>
      <c r="R788" s="2"/>
      <c r="AF788" s="14"/>
    </row>
    <row r="789" spans="1:32" customFormat="1" x14ac:dyDescent="0.25">
      <c r="A789" s="9"/>
      <c r="C789" s="14"/>
      <c r="E789" t="str">
        <f>IF(ISNA(VLOOKUP(C789,P:Q,2,0)),"",VLOOKUP(C789,P:Q,2,0))</f>
        <v/>
      </c>
      <c r="F789" s="15" t="str">
        <f>IF(ISNA(VLOOKUP(C789,P:R,3,0)),"",VLOOKUP(C789,P:R,3,0))</f>
        <v/>
      </c>
      <c r="G789">
        <f>ROUND(IF(D789&gt;0,0,ABS(D789)),2)</f>
        <v>0</v>
      </c>
      <c r="H789">
        <f>ROUND(IF(D789&gt;0,D789,),2)</f>
        <v>0</v>
      </c>
      <c r="K789" s="7"/>
      <c r="L789" s="9"/>
      <c r="M789" s="9"/>
      <c r="N789" s="7"/>
      <c r="P789" s="18"/>
      <c r="Q789" s="2"/>
      <c r="R789" s="2"/>
      <c r="AF789" s="14"/>
    </row>
    <row r="790" spans="1:32" customFormat="1" x14ac:dyDescent="0.25">
      <c r="A790" s="9"/>
      <c r="C790" s="14"/>
      <c r="E790" t="str">
        <f>IF(ISNA(VLOOKUP(C790,P:Q,2,0)),"",VLOOKUP(C790,P:Q,2,0))</f>
        <v/>
      </c>
      <c r="F790" s="15" t="str">
        <f>IF(ISNA(VLOOKUP(C790,P:R,3,0)),"",VLOOKUP(C790,P:R,3,0))</f>
        <v/>
      </c>
      <c r="G790">
        <f>ROUND(IF(D790&gt;0,0,ABS(D790)),2)</f>
        <v>0</v>
      </c>
      <c r="H790">
        <f>ROUND(IF(D790&gt;0,D790,),2)</f>
        <v>0</v>
      </c>
      <c r="K790" s="7"/>
      <c r="L790" s="9"/>
      <c r="M790" s="9"/>
      <c r="N790" s="7"/>
      <c r="P790" s="18"/>
      <c r="Q790" s="2"/>
      <c r="R790" s="2"/>
      <c r="AF790" s="14"/>
    </row>
    <row r="791" spans="1:32" customFormat="1" x14ac:dyDescent="0.25">
      <c r="A791" s="9"/>
      <c r="C791" s="14"/>
      <c r="E791" t="str">
        <f>IF(ISNA(VLOOKUP(C791,P:Q,2,0)),"",VLOOKUP(C791,P:Q,2,0))</f>
        <v/>
      </c>
      <c r="F791" s="15" t="str">
        <f>IF(ISNA(VLOOKUP(C791,P:R,3,0)),"",VLOOKUP(C791,P:R,3,0))</f>
        <v/>
      </c>
      <c r="G791">
        <f>ROUND(IF(D791&gt;0,0,ABS(D791)),2)</f>
        <v>0</v>
      </c>
      <c r="H791">
        <f>ROUND(IF(D791&gt;0,D791,),2)</f>
        <v>0</v>
      </c>
      <c r="K791" s="7"/>
      <c r="L791" s="9"/>
      <c r="M791" s="9"/>
      <c r="N791" s="7"/>
      <c r="P791" s="18"/>
      <c r="Q791" s="2"/>
      <c r="R791" s="2"/>
      <c r="AF791" s="14"/>
    </row>
    <row r="792" spans="1:32" customFormat="1" x14ac:dyDescent="0.25">
      <c r="A792" s="9"/>
      <c r="C792" s="14"/>
      <c r="E792" t="str">
        <f>IF(ISNA(VLOOKUP(C792,P:Q,2,0)),"",VLOOKUP(C792,P:Q,2,0))</f>
        <v/>
      </c>
      <c r="F792" s="15" t="str">
        <f>IF(ISNA(VLOOKUP(C792,P:R,3,0)),"",VLOOKUP(C792,P:R,3,0))</f>
        <v/>
      </c>
      <c r="G792">
        <f>ROUND(IF(D792&gt;0,0,ABS(D792)),2)</f>
        <v>0</v>
      </c>
      <c r="H792">
        <f>ROUND(IF(D792&gt;0,D792,),2)</f>
        <v>0</v>
      </c>
      <c r="K792" s="7"/>
      <c r="L792" s="9"/>
      <c r="M792" s="9"/>
      <c r="N792" s="7"/>
      <c r="P792" s="18"/>
      <c r="Q792" s="2"/>
      <c r="R792" s="2"/>
      <c r="AF792" s="14"/>
    </row>
    <row r="793" spans="1:32" customFormat="1" x14ac:dyDescent="0.25">
      <c r="A793" s="9"/>
      <c r="C793" s="14"/>
      <c r="E793" t="str">
        <f>IF(ISNA(VLOOKUP(C793,P:Q,2,0)),"",VLOOKUP(C793,P:Q,2,0))</f>
        <v/>
      </c>
      <c r="F793" s="15" t="str">
        <f>IF(ISNA(VLOOKUP(C793,P:R,3,0)),"",VLOOKUP(C793,P:R,3,0))</f>
        <v/>
      </c>
      <c r="G793">
        <f>ROUND(IF(D793&gt;0,0,ABS(D793)),2)</f>
        <v>0</v>
      </c>
      <c r="H793">
        <f>ROUND(IF(D793&gt;0,D793,),2)</f>
        <v>0</v>
      </c>
      <c r="K793" s="7"/>
      <c r="L793" s="9"/>
      <c r="M793" s="9"/>
      <c r="N793" s="7"/>
      <c r="P793" s="18"/>
      <c r="Q793" s="2"/>
      <c r="R793" s="2"/>
      <c r="AF793" s="14"/>
    </row>
    <row r="794" spans="1:32" customFormat="1" x14ac:dyDescent="0.25">
      <c r="A794" s="9"/>
      <c r="C794" s="14"/>
      <c r="E794" t="str">
        <f>IF(ISNA(VLOOKUP(C794,P:Q,2,0)),"",VLOOKUP(C794,P:Q,2,0))</f>
        <v/>
      </c>
      <c r="F794" s="15" t="str">
        <f>IF(ISNA(VLOOKUP(C794,P:R,3,0)),"",VLOOKUP(C794,P:R,3,0))</f>
        <v/>
      </c>
      <c r="G794">
        <f>ROUND(IF(D794&gt;0,0,ABS(D794)),2)</f>
        <v>0</v>
      </c>
      <c r="H794">
        <f>ROUND(IF(D794&gt;0,D794,),2)</f>
        <v>0</v>
      </c>
      <c r="K794" s="7"/>
      <c r="L794" s="9"/>
      <c r="M794" s="9"/>
      <c r="N794" s="7"/>
      <c r="P794" s="18"/>
      <c r="Q794" s="2"/>
      <c r="R794" s="2"/>
      <c r="AF794" s="14"/>
    </row>
    <row r="795" spans="1:32" customFormat="1" x14ac:dyDescent="0.25">
      <c r="A795" s="9"/>
      <c r="C795" s="14"/>
      <c r="E795" t="str">
        <f>IF(ISNA(VLOOKUP(C795,P:Q,2,0)),"",VLOOKUP(C795,P:Q,2,0))</f>
        <v/>
      </c>
      <c r="F795" s="15" t="str">
        <f>IF(ISNA(VLOOKUP(C795,P:R,3,0)),"",VLOOKUP(C795,P:R,3,0))</f>
        <v/>
      </c>
      <c r="G795">
        <f>ROUND(IF(D795&gt;0,0,ABS(D795)),2)</f>
        <v>0</v>
      </c>
      <c r="H795">
        <f>ROUND(IF(D795&gt;0,D795,),2)</f>
        <v>0</v>
      </c>
      <c r="K795" s="7"/>
      <c r="L795" s="9"/>
      <c r="M795" s="9"/>
      <c r="N795" s="7"/>
      <c r="P795" s="18"/>
      <c r="Q795" s="2"/>
      <c r="R795" s="2"/>
      <c r="AF795" s="14"/>
    </row>
    <row r="796" spans="1:32" customFormat="1" x14ac:dyDescent="0.25">
      <c r="A796" s="9"/>
      <c r="C796" s="14"/>
      <c r="E796" t="str">
        <f>IF(ISNA(VLOOKUP(C796,P:Q,2,0)),"",VLOOKUP(C796,P:Q,2,0))</f>
        <v/>
      </c>
      <c r="F796" s="15" t="str">
        <f>IF(ISNA(VLOOKUP(C796,P:R,3,0)),"",VLOOKUP(C796,P:R,3,0))</f>
        <v/>
      </c>
      <c r="G796">
        <f>ROUND(IF(D796&gt;0,0,ABS(D796)),2)</f>
        <v>0</v>
      </c>
      <c r="H796">
        <f>ROUND(IF(D796&gt;0,D796,),2)</f>
        <v>0</v>
      </c>
      <c r="K796" s="7"/>
      <c r="L796" s="9"/>
      <c r="M796" s="9"/>
      <c r="N796" s="7"/>
      <c r="P796" s="18"/>
      <c r="Q796" s="2"/>
      <c r="R796" s="2"/>
      <c r="AF796" s="14"/>
    </row>
    <row r="797" spans="1:32" customFormat="1" x14ac:dyDescent="0.25">
      <c r="A797" s="9"/>
      <c r="C797" s="14"/>
      <c r="E797" t="str">
        <f>IF(ISNA(VLOOKUP(C797,P:Q,2,0)),"",VLOOKUP(C797,P:Q,2,0))</f>
        <v/>
      </c>
      <c r="F797" s="15" t="str">
        <f>IF(ISNA(VLOOKUP(C797,P:R,3,0)),"",VLOOKUP(C797,P:R,3,0))</f>
        <v/>
      </c>
      <c r="G797">
        <f>ROUND(IF(D797&gt;0,0,ABS(D797)),2)</f>
        <v>0</v>
      </c>
      <c r="H797">
        <f>ROUND(IF(D797&gt;0,D797,),2)</f>
        <v>0</v>
      </c>
      <c r="K797" s="7"/>
      <c r="L797" s="9"/>
      <c r="M797" s="9"/>
      <c r="N797" s="7"/>
      <c r="P797" s="18"/>
      <c r="Q797" s="2"/>
      <c r="R797" s="2"/>
      <c r="AF797" s="14"/>
    </row>
    <row r="798" spans="1:32" customFormat="1" x14ac:dyDescent="0.25">
      <c r="A798" s="9"/>
      <c r="C798" s="14"/>
      <c r="E798" t="str">
        <f>IF(ISNA(VLOOKUP(C798,P:Q,2,0)),"",VLOOKUP(C798,P:Q,2,0))</f>
        <v/>
      </c>
      <c r="F798" s="15" t="str">
        <f>IF(ISNA(VLOOKUP(C798,P:R,3,0)),"",VLOOKUP(C798,P:R,3,0))</f>
        <v/>
      </c>
      <c r="G798">
        <f>ROUND(IF(D798&gt;0,0,ABS(D798)),2)</f>
        <v>0</v>
      </c>
      <c r="H798">
        <f>ROUND(IF(D798&gt;0,D798,),2)</f>
        <v>0</v>
      </c>
      <c r="K798" s="7"/>
      <c r="L798" s="9"/>
      <c r="M798" s="9"/>
      <c r="N798" s="7"/>
      <c r="P798" s="18"/>
      <c r="Q798" s="2"/>
      <c r="R798" s="2"/>
      <c r="AF798" s="14"/>
    </row>
    <row r="799" spans="1:32" customFormat="1" x14ac:dyDescent="0.25">
      <c r="A799" s="9"/>
      <c r="C799" s="14"/>
      <c r="E799" t="str">
        <f>IF(ISNA(VLOOKUP(C799,P:Q,2,0)),"",VLOOKUP(C799,P:Q,2,0))</f>
        <v/>
      </c>
      <c r="F799" s="15" t="str">
        <f>IF(ISNA(VLOOKUP(C799,P:R,3,0)),"",VLOOKUP(C799,P:R,3,0))</f>
        <v/>
      </c>
      <c r="G799">
        <f>ROUND(IF(D799&gt;0,0,ABS(D799)),2)</f>
        <v>0</v>
      </c>
      <c r="H799">
        <f>ROUND(IF(D799&gt;0,D799,),2)</f>
        <v>0</v>
      </c>
      <c r="K799" s="7"/>
      <c r="L799" s="9"/>
      <c r="M799" s="9"/>
      <c r="N799" s="7"/>
      <c r="P799" s="18"/>
      <c r="Q799" s="2"/>
      <c r="R799" s="2"/>
      <c r="AF799" s="14"/>
    </row>
    <row r="800" spans="1:32" customFormat="1" x14ac:dyDescent="0.25">
      <c r="A800" s="9"/>
      <c r="C800" s="14"/>
      <c r="E800" t="str">
        <f>IF(ISNA(VLOOKUP(C800,P:Q,2,0)),"",VLOOKUP(C800,P:Q,2,0))</f>
        <v/>
      </c>
      <c r="F800" s="15" t="str">
        <f>IF(ISNA(VLOOKUP(C800,P:R,3,0)),"",VLOOKUP(C800,P:R,3,0))</f>
        <v/>
      </c>
      <c r="G800">
        <f>ROUND(IF(D800&gt;0,0,ABS(D800)),2)</f>
        <v>0</v>
      </c>
      <c r="H800">
        <f>ROUND(IF(D800&gt;0,D800,),2)</f>
        <v>0</v>
      </c>
      <c r="K800" s="7"/>
      <c r="L800" s="9"/>
      <c r="M800" s="9"/>
      <c r="N800" s="7"/>
      <c r="P800" s="18"/>
      <c r="Q800" s="2"/>
      <c r="R800" s="2"/>
      <c r="AF800" s="14"/>
    </row>
    <row r="801" spans="1:32" customFormat="1" x14ac:dyDescent="0.25">
      <c r="A801" s="9"/>
      <c r="C801" s="14"/>
      <c r="E801" t="str">
        <f>IF(ISNA(VLOOKUP(C801,P:Q,2,0)),"",VLOOKUP(C801,P:Q,2,0))</f>
        <v/>
      </c>
      <c r="F801" s="15" t="str">
        <f>IF(ISNA(VLOOKUP(C801,P:R,3,0)),"",VLOOKUP(C801,P:R,3,0))</f>
        <v/>
      </c>
      <c r="G801">
        <f>ROUND(IF(D801&gt;0,0,ABS(D801)),2)</f>
        <v>0</v>
      </c>
      <c r="H801">
        <f>ROUND(IF(D801&gt;0,D801,),2)</f>
        <v>0</v>
      </c>
      <c r="K801" s="7"/>
      <c r="L801" s="9"/>
      <c r="M801" s="9"/>
      <c r="N801" s="7"/>
      <c r="P801" s="18"/>
      <c r="Q801" s="2"/>
      <c r="R801" s="2"/>
      <c r="AF801" s="14"/>
    </row>
    <row r="802" spans="1:32" customFormat="1" x14ac:dyDescent="0.25">
      <c r="A802" s="9"/>
      <c r="C802" s="14"/>
      <c r="E802" t="str">
        <f>IF(ISNA(VLOOKUP(C802,P:Q,2,0)),"",VLOOKUP(C802,P:Q,2,0))</f>
        <v/>
      </c>
      <c r="F802" s="15" t="str">
        <f>IF(ISNA(VLOOKUP(C802,P:R,3,0)),"",VLOOKUP(C802,P:R,3,0))</f>
        <v/>
      </c>
      <c r="G802">
        <f>ROUND(IF(D802&gt;0,0,ABS(D802)),2)</f>
        <v>0</v>
      </c>
      <c r="H802">
        <f>ROUND(IF(D802&gt;0,D802,),2)</f>
        <v>0</v>
      </c>
      <c r="K802" s="7"/>
      <c r="L802" s="9"/>
      <c r="M802" s="9"/>
      <c r="N802" s="7"/>
      <c r="P802" s="18"/>
      <c r="Q802" s="2"/>
      <c r="R802" s="2"/>
      <c r="AF802" s="14"/>
    </row>
    <row r="803" spans="1:32" customFormat="1" x14ac:dyDescent="0.25">
      <c r="A803" s="9"/>
      <c r="C803" s="14"/>
      <c r="E803" t="str">
        <f>IF(ISNA(VLOOKUP(C803,P:Q,2,0)),"",VLOOKUP(C803,P:Q,2,0))</f>
        <v/>
      </c>
      <c r="F803" s="15" t="str">
        <f>IF(ISNA(VLOOKUP(C803,P:R,3,0)),"",VLOOKUP(C803,P:R,3,0))</f>
        <v/>
      </c>
      <c r="G803">
        <f>ROUND(IF(D803&gt;0,0,ABS(D803)),2)</f>
        <v>0</v>
      </c>
      <c r="H803">
        <f>ROUND(IF(D803&gt;0,D803,),2)</f>
        <v>0</v>
      </c>
      <c r="K803" s="7"/>
      <c r="L803" s="9"/>
      <c r="M803" s="9"/>
      <c r="N803" s="7"/>
      <c r="P803" s="18"/>
      <c r="Q803" s="2"/>
      <c r="R803" s="2"/>
      <c r="AF803" s="14"/>
    </row>
    <row r="804" spans="1:32" customFormat="1" x14ac:dyDescent="0.25">
      <c r="A804" s="9"/>
      <c r="C804" s="14"/>
      <c r="E804" t="str">
        <f>IF(ISNA(VLOOKUP(C804,P:Q,2,0)),"",VLOOKUP(C804,P:Q,2,0))</f>
        <v/>
      </c>
      <c r="F804" s="15" t="str">
        <f>IF(ISNA(VLOOKUP(C804,P:R,3,0)),"",VLOOKUP(C804,P:R,3,0))</f>
        <v/>
      </c>
      <c r="G804">
        <f>ROUND(IF(D804&gt;0,0,ABS(D804)),2)</f>
        <v>0</v>
      </c>
      <c r="H804">
        <f>ROUND(IF(D804&gt;0,D804,),2)</f>
        <v>0</v>
      </c>
      <c r="K804" s="7"/>
      <c r="L804" s="9"/>
      <c r="M804" s="9"/>
      <c r="N804" s="7"/>
      <c r="P804" s="18"/>
      <c r="Q804" s="2"/>
      <c r="R804" s="2"/>
      <c r="AF804" s="14"/>
    </row>
    <row r="805" spans="1:32" customFormat="1" x14ac:dyDescent="0.25">
      <c r="A805" s="9"/>
      <c r="C805" s="14"/>
      <c r="E805" t="str">
        <f>IF(ISNA(VLOOKUP(C805,P:Q,2,0)),"",VLOOKUP(C805,P:Q,2,0))</f>
        <v/>
      </c>
      <c r="F805" s="15" t="str">
        <f>IF(ISNA(VLOOKUP(C805,P:R,3,0)),"",VLOOKUP(C805,P:R,3,0))</f>
        <v/>
      </c>
      <c r="G805">
        <f>ROUND(IF(D805&gt;0,0,ABS(D805)),2)</f>
        <v>0</v>
      </c>
      <c r="H805">
        <f>ROUND(IF(D805&gt;0,D805,),2)</f>
        <v>0</v>
      </c>
      <c r="K805" s="7"/>
      <c r="L805" s="9"/>
      <c r="M805" s="9"/>
      <c r="N805" s="7"/>
      <c r="P805" s="18"/>
      <c r="Q805" s="2"/>
      <c r="R805" s="2"/>
      <c r="AF805" s="14"/>
    </row>
    <row r="806" spans="1:32" customFormat="1" x14ac:dyDescent="0.25">
      <c r="A806" s="9"/>
      <c r="C806" s="14"/>
      <c r="E806" t="str">
        <f>IF(ISNA(VLOOKUP(C806,P:Q,2,0)),"",VLOOKUP(C806,P:Q,2,0))</f>
        <v/>
      </c>
      <c r="F806" s="15" t="str">
        <f>IF(ISNA(VLOOKUP(C806,P:R,3,0)),"",VLOOKUP(C806,P:R,3,0))</f>
        <v/>
      </c>
      <c r="G806">
        <f>ROUND(IF(D806&gt;0,0,ABS(D806)),2)</f>
        <v>0</v>
      </c>
      <c r="H806">
        <f>ROUND(IF(D806&gt;0,D806,),2)</f>
        <v>0</v>
      </c>
      <c r="K806" s="7"/>
      <c r="L806" s="9"/>
      <c r="M806" s="9"/>
      <c r="N806" s="7"/>
      <c r="P806" s="18"/>
      <c r="Q806" s="2"/>
      <c r="R806" s="2"/>
      <c r="AF806" s="14"/>
    </row>
    <row r="807" spans="1:32" customFormat="1" x14ac:dyDescent="0.25">
      <c r="A807" s="9"/>
      <c r="C807" s="14"/>
      <c r="E807" t="str">
        <f>IF(ISNA(VLOOKUP(C807,P:Q,2,0)),"",VLOOKUP(C807,P:Q,2,0))</f>
        <v/>
      </c>
      <c r="F807" s="15" t="str">
        <f>IF(ISNA(VLOOKUP(C807,P:R,3,0)),"",VLOOKUP(C807,P:R,3,0))</f>
        <v/>
      </c>
      <c r="G807">
        <f>ROUND(IF(D807&gt;0,0,ABS(D807)),2)</f>
        <v>0</v>
      </c>
      <c r="H807">
        <f>ROUND(IF(D807&gt;0,D807,),2)</f>
        <v>0</v>
      </c>
      <c r="K807" s="7"/>
      <c r="L807" s="9"/>
      <c r="M807" s="9"/>
      <c r="N807" s="7"/>
      <c r="P807" s="18"/>
      <c r="Q807" s="2"/>
      <c r="R807" s="2"/>
      <c r="AF807" s="14"/>
    </row>
    <row r="808" spans="1:32" customFormat="1" x14ac:dyDescent="0.25">
      <c r="A808" s="9"/>
      <c r="C808" s="14"/>
      <c r="E808" t="str">
        <f>IF(ISNA(VLOOKUP(C808,P:Q,2,0)),"",VLOOKUP(C808,P:Q,2,0))</f>
        <v/>
      </c>
      <c r="F808" s="15" t="str">
        <f>IF(ISNA(VLOOKUP(C808,P:R,3,0)),"",VLOOKUP(C808,P:R,3,0))</f>
        <v/>
      </c>
      <c r="G808">
        <f>ROUND(IF(D808&gt;0,0,ABS(D808)),2)</f>
        <v>0</v>
      </c>
      <c r="H808">
        <f>ROUND(IF(D808&gt;0,D808,),2)</f>
        <v>0</v>
      </c>
      <c r="K808" s="7"/>
      <c r="L808" s="9"/>
      <c r="M808" s="9"/>
      <c r="N808" s="7"/>
      <c r="P808" s="18"/>
      <c r="Q808" s="2"/>
      <c r="R808" s="2"/>
      <c r="AF808" s="14"/>
    </row>
    <row r="809" spans="1:32" customFormat="1" x14ac:dyDescent="0.25">
      <c r="A809" s="9"/>
      <c r="C809" s="14"/>
      <c r="E809" t="str">
        <f>IF(ISNA(VLOOKUP(C809,P:Q,2,0)),"",VLOOKUP(C809,P:Q,2,0))</f>
        <v/>
      </c>
      <c r="F809" s="15" t="str">
        <f>IF(ISNA(VLOOKUP(C809,P:R,3,0)),"",VLOOKUP(C809,P:R,3,0))</f>
        <v/>
      </c>
      <c r="G809">
        <f>ROUND(IF(D809&gt;0,0,ABS(D809)),2)</f>
        <v>0</v>
      </c>
      <c r="H809">
        <f>ROUND(IF(D809&gt;0,D809,),2)</f>
        <v>0</v>
      </c>
      <c r="K809" s="7"/>
      <c r="L809" s="9"/>
      <c r="M809" s="9"/>
      <c r="N809" s="7"/>
      <c r="P809" s="18"/>
      <c r="Q809" s="2"/>
      <c r="R809" s="2"/>
      <c r="AF809" s="14"/>
    </row>
    <row r="810" spans="1:32" customFormat="1" x14ac:dyDescent="0.25">
      <c r="A810" s="9"/>
      <c r="C810" s="14"/>
      <c r="E810" t="str">
        <f>IF(ISNA(VLOOKUP(C810,P:Q,2,0)),"",VLOOKUP(C810,P:Q,2,0))</f>
        <v/>
      </c>
      <c r="F810" s="15" t="str">
        <f>IF(ISNA(VLOOKUP(C810,P:R,3,0)),"",VLOOKUP(C810,P:R,3,0))</f>
        <v/>
      </c>
      <c r="G810">
        <f>ROUND(IF(D810&gt;0,0,ABS(D810)),2)</f>
        <v>0</v>
      </c>
      <c r="H810">
        <f>ROUND(IF(D810&gt;0,D810,),2)</f>
        <v>0</v>
      </c>
      <c r="K810" s="7"/>
      <c r="L810" s="9"/>
      <c r="M810" s="9"/>
      <c r="N810" s="7"/>
      <c r="P810" s="18"/>
      <c r="Q810" s="2"/>
      <c r="R810" s="2"/>
      <c r="AF810" s="14"/>
    </row>
    <row r="811" spans="1:32" customFormat="1" x14ac:dyDescent="0.25">
      <c r="A811" s="9"/>
      <c r="C811" s="14"/>
      <c r="E811" t="str">
        <f>IF(ISNA(VLOOKUP(C811,P:Q,2,0)),"",VLOOKUP(C811,P:Q,2,0))</f>
        <v/>
      </c>
      <c r="F811" s="15" t="str">
        <f>IF(ISNA(VLOOKUP(C811,P:R,3,0)),"",VLOOKUP(C811,P:R,3,0))</f>
        <v/>
      </c>
      <c r="G811">
        <f>ROUND(IF(D811&gt;0,0,ABS(D811)),2)</f>
        <v>0</v>
      </c>
      <c r="H811">
        <f>ROUND(IF(D811&gt;0,D811,),2)</f>
        <v>0</v>
      </c>
      <c r="K811" s="7"/>
      <c r="L811" s="9"/>
      <c r="M811" s="9"/>
      <c r="N811" s="7"/>
      <c r="P811" s="18"/>
      <c r="Q811" s="2"/>
      <c r="R811" s="2"/>
      <c r="AF811" s="14"/>
    </row>
    <row r="812" spans="1:32" customFormat="1" x14ac:dyDescent="0.25">
      <c r="A812" s="9"/>
      <c r="C812" s="14"/>
      <c r="E812" t="str">
        <f>IF(ISNA(VLOOKUP(C812,P:Q,2,0)),"",VLOOKUP(C812,P:Q,2,0))</f>
        <v/>
      </c>
      <c r="F812" s="15" t="str">
        <f>IF(ISNA(VLOOKUP(C812,P:R,3,0)),"",VLOOKUP(C812,P:R,3,0))</f>
        <v/>
      </c>
      <c r="G812">
        <f>ROUND(IF(D812&gt;0,0,ABS(D812)),2)</f>
        <v>0</v>
      </c>
      <c r="H812">
        <f>ROUND(IF(D812&gt;0,D812,),2)</f>
        <v>0</v>
      </c>
      <c r="K812" s="7"/>
      <c r="L812" s="9"/>
      <c r="M812" s="9"/>
      <c r="N812" s="7"/>
      <c r="P812" s="18"/>
      <c r="Q812" s="2"/>
      <c r="R812" s="2"/>
      <c r="AF812" s="14"/>
    </row>
    <row r="813" spans="1:32" customFormat="1" x14ac:dyDescent="0.25">
      <c r="A813" s="9"/>
      <c r="C813" s="14"/>
      <c r="E813" t="str">
        <f>IF(ISNA(VLOOKUP(C813,P:Q,2,0)),"",VLOOKUP(C813,P:Q,2,0))</f>
        <v/>
      </c>
      <c r="F813" s="15" t="str">
        <f>IF(ISNA(VLOOKUP(C813,P:R,3,0)),"",VLOOKUP(C813,P:R,3,0))</f>
        <v/>
      </c>
      <c r="G813">
        <f>ROUND(IF(D813&gt;0,0,ABS(D813)),2)</f>
        <v>0</v>
      </c>
      <c r="H813">
        <f>ROUND(IF(D813&gt;0,D813,),2)</f>
        <v>0</v>
      </c>
      <c r="K813" s="7"/>
      <c r="L813" s="9"/>
      <c r="M813" s="9"/>
      <c r="N813" s="7"/>
      <c r="P813" s="18"/>
      <c r="Q813" s="2"/>
      <c r="R813" s="2"/>
      <c r="AF813" s="14"/>
    </row>
    <row r="814" spans="1:32" customFormat="1" x14ac:dyDescent="0.25">
      <c r="A814" s="9"/>
      <c r="C814" s="14"/>
      <c r="E814" t="str">
        <f>IF(ISNA(VLOOKUP(C814,P:Q,2,0)),"",VLOOKUP(C814,P:Q,2,0))</f>
        <v/>
      </c>
      <c r="F814" s="15" t="str">
        <f>IF(ISNA(VLOOKUP(C814,P:R,3,0)),"",VLOOKUP(C814,P:R,3,0))</f>
        <v/>
      </c>
      <c r="G814">
        <f>ROUND(IF(D814&gt;0,0,ABS(D814)),2)</f>
        <v>0</v>
      </c>
      <c r="H814">
        <f>ROUND(IF(D814&gt;0,D814,),2)</f>
        <v>0</v>
      </c>
      <c r="K814" s="7"/>
      <c r="L814" s="9"/>
      <c r="M814" s="9"/>
      <c r="N814" s="7"/>
      <c r="P814" s="18"/>
      <c r="Q814" s="2"/>
      <c r="R814" s="2"/>
      <c r="AF814" s="14"/>
    </row>
    <row r="815" spans="1:32" customFormat="1" x14ac:dyDescent="0.25">
      <c r="A815" s="9"/>
      <c r="C815" s="14"/>
      <c r="E815" t="str">
        <f>IF(ISNA(VLOOKUP(C815,P:Q,2,0)),"",VLOOKUP(C815,P:Q,2,0))</f>
        <v/>
      </c>
      <c r="F815" s="15" t="str">
        <f>IF(ISNA(VLOOKUP(C815,P:R,3,0)),"",VLOOKUP(C815,P:R,3,0))</f>
        <v/>
      </c>
      <c r="G815">
        <f>ROUND(IF(D815&gt;0,0,ABS(D815)),2)</f>
        <v>0</v>
      </c>
      <c r="H815">
        <f>ROUND(IF(D815&gt;0,D815,),2)</f>
        <v>0</v>
      </c>
      <c r="K815" s="7"/>
      <c r="L815" s="9"/>
      <c r="M815" s="9"/>
      <c r="N815" s="7"/>
      <c r="P815" s="18"/>
      <c r="Q815" s="2"/>
      <c r="R815" s="2"/>
      <c r="AF815" s="14"/>
    </row>
    <row r="816" spans="1:32" customFormat="1" x14ac:dyDescent="0.25">
      <c r="A816" s="9"/>
      <c r="C816" s="14"/>
      <c r="E816" t="str">
        <f>IF(ISNA(VLOOKUP(C816,P:Q,2,0)),"",VLOOKUP(C816,P:Q,2,0))</f>
        <v/>
      </c>
      <c r="F816" s="15" t="str">
        <f>IF(ISNA(VLOOKUP(C816,P:R,3,0)),"",VLOOKUP(C816,P:R,3,0))</f>
        <v/>
      </c>
      <c r="G816">
        <f>ROUND(IF(D816&gt;0,0,ABS(D816)),2)</f>
        <v>0</v>
      </c>
      <c r="H816">
        <f>ROUND(IF(D816&gt;0,D816,),2)</f>
        <v>0</v>
      </c>
      <c r="K816" s="7"/>
      <c r="L816" s="9"/>
      <c r="M816" s="9"/>
      <c r="N816" s="7"/>
      <c r="P816" s="18"/>
      <c r="Q816" s="2"/>
      <c r="R816" s="2"/>
      <c r="AF816" s="14"/>
    </row>
    <row r="817" spans="1:32" customFormat="1" x14ac:dyDescent="0.25">
      <c r="A817" s="9"/>
      <c r="C817" s="14"/>
      <c r="E817" t="str">
        <f>IF(ISNA(VLOOKUP(C817,P:Q,2,0)),"",VLOOKUP(C817,P:Q,2,0))</f>
        <v/>
      </c>
      <c r="F817" s="15" t="str">
        <f>IF(ISNA(VLOOKUP(C817,P:R,3,0)),"",VLOOKUP(C817,P:R,3,0))</f>
        <v/>
      </c>
      <c r="G817">
        <f>ROUND(IF(D817&gt;0,0,ABS(D817)),2)</f>
        <v>0</v>
      </c>
      <c r="H817">
        <f>ROUND(IF(D817&gt;0,D817,),2)</f>
        <v>0</v>
      </c>
      <c r="K817" s="7"/>
      <c r="L817" s="9"/>
      <c r="M817" s="9"/>
      <c r="N817" s="7"/>
      <c r="P817" s="18"/>
      <c r="Q817" s="2"/>
      <c r="R817" s="2"/>
      <c r="AF817" s="14"/>
    </row>
    <row r="818" spans="1:32" customFormat="1" x14ac:dyDescent="0.25">
      <c r="A818" s="9"/>
      <c r="C818" s="14"/>
      <c r="E818" t="str">
        <f>IF(ISNA(VLOOKUP(C818,P:Q,2,0)),"",VLOOKUP(C818,P:Q,2,0))</f>
        <v/>
      </c>
      <c r="F818" s="15" t="str">
        <f>IF(ISNA(VLOOKUP(C818,P:R,3,0)),"",VLOOKUP(C818,P:R,3,0))</f>
        <v/>
      </c>
      <c r="G818">
        <f>ROUND(IF(D818&gt;0,0,ABS(D818)),2)</f>
        <v>0</v>
      </c>
      <c r="H818">
        <f>ROUND(IF(D818&gt;0,D818,),2)</f>
        <v>0</v>
      </c>
      <c r="K818" s="7"/>
      <c r="L818" s="9"/>
      <c r="M818" s="9"/>
      <c r="N818" s="7"/>
      <c r="P818" s="18"/>
      <c r="Q818" s="2"/>
      <c r="R818" s="2"/>
      <c r="AF818" s="14"/>
    </row>
    <row r="819" spans="1:32" customFormat="1" x14ac:dyDescent="0.25">
      <c r="A819" s="9"/>
      <c r="C819" s="14"/>
      <c r="E819" t="str">
        <f>IF(ISNA(VLOOKUP(C819,P:Q,2,0)),"",VLOOKUP(C819,P:Q,2,0))</f>
        <v/>
      </c>
      <c r="F819" s="15" t="str">
        <f>IF(ISNA(VLOOKUP(C819,P:R,3,0)),"",VLOOKUP(C819,P:R,3,0))</f>
        <v/>
      </c>
      <c r="G819">
        <f>ROUND(IF(D819&gt;0,0,ABS(D819)),2)</f>
        <v>0</v>
      </c>
      <c r="H819">
        <f>ROUND(IF(D819&gt;0,D819,),2)</f>
        <v>0</v>
      </c>
      <c r="K819" s="7"/>
      <c r="L819" s="9"/>
      <c r="M819" s="9"/>
      <c r="N819" s="7"/>
      <c r="P819" s="18"/>
      <c r="Q819" s="2"/>
      <c r="R819" s="2"/>
      <c r="AF819" s="14"/>
    </row>
    <row r="820" spans="1:32" customFormat="1" x14ac:dyDescent="0.25">
      <c r="A820" s="9"/>
      <c r="C820" s="14"/>
      <c r="E820" t="str">
        <f>IF(ISNA(VLOOKUP(C820,P:Q,2,0)),"",VLOOKUP(C820,P:Q,2,0))</f>
        <v/>
      </c>
      <c r="F820" s="15" t="str">
        <f>IF(ISNA(VLOOKUP(C820,P:R,3,0)),"",VLOOKUP(C820,P:R,3,0))</f>
        <v/>
      </c>
      <c r="G820">
        <f>ROUND(IF(D820&gt;0,0,ABS(D820)),2)</f>
        <v>0</v>
      </c>
      <c r="H820">
        <f>ROUND(IF(D820&gt;0,D820,),2)</f>
        <v>0</v>
      </c>
      <c r="K820" s="7"/>
      <c r="L820" s="9"/>
      <c r="M820" s="9"/>
      <c r="N820" s="7"/>
      <c r="P820" s="18"/>
      <c r="Q820" s="2"/>
      <c r="R820" s="2"/>
      <c r="AF820" s="14"/>
    </row>
    <row r="821" spans="1:32" customFormat="1" x14ac:dyDescent="0.25">
      <c r="A821" s="9"/>
      <c r="C821" s="14"/>
      <c r="E821" t="str">
        <f>IF(ISNA(VLOOKUP(C821,P:Q,2,0)),"",VLOOKUP(C821,P:Q,2,0))</f>
        <v/>
      </c>
      <c r="F821" s="15" t="str">
        <f>IF(ISNA(VLOOKUP(C821,P:R,3,0)),"",VLOOKUP(C821,P:R,3,0))</f>
        <v/>
      </c>
      <c r="G821">
        <f>ROUND(IF(D821&gt;0,0,ABS(D821)),2)</f>
        <v>0</v>
      </c>
      <c r="H821">
        <f>ROUND(IF(D821&gt;0,D821,),2)</f>
        <v>0</v>
      </c>
      <c r="K821" s="7"/>
      <c r="L821" s="9"/>
      <c r="M821" s="9"/>
      <c r="N821" s="7"/>
      <c r="P821" s="18"/>
      <c r="Q821" s="2"/>
      <c r="R821" s="2"/>
      <c r="AF821" s="14"/>
    </row>
    <row r="822" spans="1:32" customFormat="1" x14ac:dyDescent="0.25">
      <c r="A822" s="9"/>
      <c r="C822" s="14"/>
      <c r="E822" t="str">
        <f>IF(ISNA(VLOOKUP(C822,P:Q,2,0)),"",VLOOKUP(C822,P:Q,2,0))</f>
        <v/>
      </c>
      <c r="F822" s="15" t="str">
        <f>IF(ISNA(VLOOKUP(C822,P:R,3,0)),"",VLOOKUP(C822,P:R,3,0))</f>
        <v/>
      </c>
      <c r="G822">
        <f>ROUND(IF(D822&gt;0,0,ABS(D822)),2)</f>
        <v>0</v>
      </c>
      <c r="H822">
        <f>ROUND(IF(D822&gt;0,D822,),2)</f>
        <v>0</v>
      </c>
      <c r="K822" s="7"/>
      <c r="L822" s="9"/>
      <c r="M822" s="9"/>
      <c r="N822" s="7"/>
      <c r="P822" s="18"/>
      <c r="Q822" s="2"/>
      <c r="R822" s="2"/>
      <c r="AF822" s="14"/>
    </row>
    <row r="823" spans="1:32" customFormat="1" x14ac:dyDescent="0.25">
      <c r="A823" s="9"/>
      <c r="C823" s="14"/>
      <c r="E823" t="str">
        <f>IF(ISNA(VLOOKUP(C823,P:Q,2,0)),"",VLOOKUP(C823,P:Q,2,0))</f>
        <v/>
      </c>
      <c r="F823" s="15" t="str">
        <f>IF(ISNA(VLOOKUP(C823,P:R,3,0)),"",VLOOKUP(C823,P:R,3,0))</f>
        <v/>
      </c>
      <c r="G823">
        <f>ROUND(IF(D823&gt;0,0,ABS(D823)),2)</f>
        <v>0</v>
      </c>
      <c r="H823">
        <f>ROUND(IF(D823&gt;0,D823,),2)</f>
        <v>0</v>
      </c>
      <c r="K823" s="7"/>
      <c r="L823" s="9"/>
      <c r="M823" s="9"/>
      <c r="N823" s="7"/>
      <c r="P823" s="18"/>
      <c r="Q823" s="2"/>
      <c r="R823" s="2"/>
      <c r="AF823" s="14"/>
    </row>
    <row r="824" spans="1:32" customFormat="1" x14ac:dyDescent="0.25">
      <c r="A824" s="9"/>
      <c r="C824" s="14"/>
      <c r="E824" t="str">
        <f>IF(ISNA(VLOOKUP(C824,P:Q,2,0)),"",VLOOKUP(C824,P:Q,2,0))</f>
        <v/>
      </c>
      <c r="F824" s="15" t="str">
        <f>IF(ISNA(VLOOKUP(C824,P:R,3,0)),"",VLOOKUP(C824,P:R,3,0))</f>
        <v/>
      </c>
      <c r="G824">
        <f>ROUND(IF(D824&gt;0,0,ABS(D824)),2)</f>
        <v>0</v>
      </c>
      <c r="H824">
        <f>ROUND(IF(D824&gt;0,D824,),2)</f>
        <v>0</v>
      </c>
      <c r="K824" s="7"/>
      <c r="L824" s="9"/>
      <c r="M824" s="9"/>
      <c r="N824" s="7"/>
      <c r="P824" s="18"/>
      <c r="Q824" s="2"/>
      <c r="R824" s="2"/>
      <c r="AF824" s="14"/>
    </row>
    <row r="825" spans="1:32" customFormat="1" x14ac:dyDescent="0.25">
      <c r="A825" s="9"/>
      <c r="C825" s="14"/>
      <c r="E825" t="str">
        <f>IF(ISNA(VLOOKUP(C825,P:Q,2,0)),"",VLOOKUP(C825,P:Q,2,0))</f>
        <v/>
      </c>
      <c r="F825" s="15" t="str">
        <f>IF(ISNA(VLOOKUP(C825,P:R,3,0)),"",VLOOKUP(C825,P:R,3,0))</f>
        <v/>
      </c>
      <c r="G825">
        <f>ROUND(IF(D825&gt;0,0,ABS(D825)),2)</f>
        <v>0</v>
      </c>
      <c r="H825">
        <f>ROUND(IF(D825&gt;0,D825,),2)</f>
        <v>0</v>
      </c>
      <c r="K825" s="7"/>
      <c r="L825" s="9"/>
      <c r="M825" s="9"/>
      <c r="N825" s="7"/>
      <c r="P825" s="18"/>
      <c r="Q825" s="2"/>
      <c r="R825" s="2"/>
      <c r="AF825" s="14"/>
    </row>
    <row r="826" spans="1:32" customFormat="1" x14ac:dyDescent="0.25">
      <c r="A826" s="9"/>
      <c r="C826" s="14"/>
      <c r="E826" t="str">
        <f>IF(ISNA(VLOOKUP(C826,P:Q,2,0)),"",VLOOKUP(C826,P:Q,2,0))</f>
        <v/>
      </c>
      <c r="F826" s="15" t="str">
        <f>IF(ISNA(VLOOKUP(C826,P:R,3,0)),"",VLOOKUP(C826,P:R,3,0))</f>
        <v/>
      </c>
      <c r="G826">
        <f>ROUND(IF(D826&gt;0,0,ABS(D826)),2)</f>
        <v>0</v>
      </c>
      <c r="H826">
        <f>ROUND(IF(D826&gt;0,D826,),2)</f>
        <v>0</v>
      </c>
      <c r="K826" s="7"/>
      <c r="L826" s="9"/>
      <c r="M826" s="9"/>
      <c r="N826" s="7"/>
      <c r="P826" s="18"/>
      <c r="Q826" s="2"/>
      <c r="R826" s="2"/>
      <c r="AF826" s="14"/>
    </row>
    <row r="827" spans="1:32" customFormat="1" x14ac:dyDescent="0.25">
      <c r="A827" s="9"/>
      <c r="C827" s="14"/>
      <c r="E827" t="str">
        <f>IF(ISNA(VLOOKUP(C827,P:Q,2,0)),"",VLOOKUP(C827,P:Q,2,0))</f>
        <v/>
      </c>
      <c r="F827" s="15" t="str">
        <f>IF(ISNA(VLOOKUP(C827,P:R,3,0)),"",VLOOKUP(C827,P:R,3,0))</f>
        <v/>
      </c>
      <c r="G827">
        <f>ROUND(IF(D827&gt;0,0,ABS(D827)),2)</f>
        <v>0</v>
      </c>
      <c r="H827">
        <f>ROUND(IF(D827&gt;0,D827,),2)</f>
        <v>0</v>
      </c>
      <c r="K827" s="7"/>
      <c r="L827" s="9"/>
      <c r="M827" s="9"/>
      <c r="N827" s="7"/>
      <c r="P827" s="18"/>
      <c r="Q827" s="2"/>
      <c r="R827" s="2"/>
      <c r="AF827" s="14"/>
    </row>
    <row r="828" spans="1:32" customFormat="1" x14ac:dyDescent="0.25">
      <c r="A828" s="9"/>
      <c r="C828" s="14"/>
      <c r="E828" t="str">
        <f>IF(ISNA(VLOOKUP(C828,P:Q,2,0)),"",VLOOKUP(C828,P:Q,2,0))</f>
        <v/>
      </c>
      <c r="F828" s="15" t="str">
        <f>IF(ISNA(VLOOKUP(C828,P:R,3,0)),"",VLOOKUP(C828,P:R,3,0))</f>
        <v/>
      </c>
      <c r="G828">
        <f>ROUND(IF(D828&gt;0,0,ABS(D828)),2)</f>
        <v>0</v>
      </c>
      <c r="H828">
        <f>ROUND(IF(D828&gt;0,D828,),2)</f>
        <v>0</v>
      </c>
      <c r="K828" s="7"/>
      <c r="L828" s="9"/>
      <c r="M828" s="9"/>
      <c r="N828" s="7"/>
      <c r="P828" s="18"/>
      <c r="Q828" s="2"/>
      <c r="R828" s="2"/>
      <c r="AF828" s="14"/>
    </row>
    <row r="829" spans="1:32" customFormat="1" x14ac:dyDescent="0.25">
      <c r="A829" s="9"/>
      <c r="C829" s="14"/>
      <c r="E829" t="str">
        <f>IF(ISNA(VLOOKUP(C829,P:Q,2,0)),"",VLOOKUP(C829,P:Q,2,0))</f>
        <v/>
      </c>
      <c r="F829" s="15" t="str">
        <f>IF(ISNA(VLOOKUP(C829,P:R,3,0)),"",VLOOKUP(C829,P:R,3,0))</f>
        <v/>
      </c>
      <c r="G829">
        <f>ROUND(IF(D829&gt;0,0,ABS(D829)),2)</f>
        <v>0</v>
      </c>
      <c r="H829">
        <f>ROUND(IF(D829&gt;0,D829,),2)</f>
        <v>0</v>
      </c>
      <c r="K829" s="7"/>
      <c r="L829" s="9"/>
      <c r="M829" s="9"/>
      <c r="N829" s="7"/>
      <c r="P829" s="18"/>
      <c r="Q829" s="2"/>
      <c r="R829" s="2"/>
      <c r="AF829" s="14"/>
    </row>
    <row r="830" spans="1:32" customFormat="1" x14ac:dyDescent="0.25">
      <c r="A830" s="9"/>
      <c r="C830" s="14"/>
      <c r="E830" t="str">
        <f>IF(ISNA(VLOOKUP(C830,P:Q,2,0)),"",VLOOKUP(C830,P:Q,2,0))</f>
        <v/>
      </c>
      <c r="F830" s="15" t="str">
        <f>IF(ISNA(VLOOKUP(C830,P:R,3,0)),"",VLOOKUP(C830,P:R,3,0))</f>
        <v/>
      </c>
      <c r="G830">
        <f>ROUND(IF(D830&gt;0,0,ABS(D830)),2)</f>
        <v>0</v>
      </c>
      <c r="H830">
        <f>ROUND(IF(D830&gt;0,D830,),2)</f>
        <v>0</v>
      </c>
      <c r="K830" s="7"/>
      <c r="L830" s="9"/>
      <c r="M830" s="9"/>
      <c r="N830" s="7"/>
      <c r="P830" s="18"/>
      <c r="Q830" s="2"/>
      <c r="R830" s="2"/>
      <c r="AF830" s="14"/>
    </row>
    <row r="831" spans="1:32" customFormat="1" x14ac:dyDescent="0.25">
      <c r="A831" s="9"/>
      <c r="C831" s="14"/>
      <c r="E831" t="str">
        <f>IF(ISNA(VLOOKUP(C831,P:Q,2,0)),"",VLOOKUP(C831,P:Q,2,0))</f>
        <v/>
      </c>
      <c r="F831" s="15" t="str">
        <f>IF(ISNA(VLOOKUP(C831,P:R,3,0)),"",VLOOKUP(C831,P:R,3,0))</f>
        <v/>
      </c>
      <c r="G831">
        <f>ROUND(IF(D831&gt;0,0,ABS(D831)),2)</f>
        <v>0</v>
      </c>
      <c r="H831">
        <f>ROUND(IF(D831&gt;0,D831,),2)</f>
        <v>0</v>
      </c>
      <c r="K831" s="7"/>
      <c r="L831" s="9"/>
      <c r="M831" s="9"/>
      <c r="N831" s="7"/>
      <c r="P831" s="18"/>
      <c r="Q831" s="2"/>
      <c r="R831" s="2"/>
      <c r="AF831" s="14"/>
    </row>
    <row r="832" spans="1:32" customFormat="1" x14ac:dyDescent="0.25">
      <c r="A832" s="9"/>
      <c r="C832" s="14"/>
      <c r="E832" t="str">
        <f>IF(ISNA(VLOOKUP(C832,P:Q,2,0)),"",VLOOKUP(C832,P:Q,2,0))</f>
        <v/>
      </c>
      <c r="F832" s="15" t="str">
        <f>IF(ISNA(VLOOKUP(C832,P:R,3,0)),"",VLOOKUP(C832,P:R,3,0))</f>
        <v/>
      </c>
      <c r="G832">
        <f>ROUND(IF(D832&gt;0,0,ABS(D832)),2)</f>
        <v>0</v>
      </c>
      <c r="H832">
        <f>ROUND(IF(D832&gt;0,D832,),2)</f>
        <v>0</v>
      </c>
      <c r="K832" s="7"/>
      <c r="L832" s="9"/>
      <c r="M832" s="9"/>
      <c r="N832" s="7"/>
      <c r="P832" s="18"/>
      <c r="Q832" s="2"/>
      <c r="R832" s="2"/>
      <c r="AF832" s="14"/>
    </row>
    <row r="833" spans="1:32" customFormat="1" x14ac:dyDescent="0.25">
      <c r="A833" s="9"/>
      <c r="C833" s="14"/>
      <c r="E833" t="str">
        <f>IF(ISNA(VLOOKUP(C833,P:Q,2,0)),"",VLOOKUP(C833,P:Q,2,0))</f>
        <v/>
      </c>
      <c r="F833" s="15" t="str">
        <f>IF(ISNA(VLOOKUP(C833,P:R,3,0)),"",VLOOKUP(C833,P:R,3,0))</f>
        <v/>
      </c>
      <c r="G833">
        <f>ROUND(IF(D833&gt;0,0,ABS(D833)),2)</f>
        <v>0</v>
      </c>
      <c r="H833">
        <f>ROUND(IF(D833&gt;0,D833,),2)</f>
        <v>0</v>
      </c>
      <c r="K833" s="7"/>
      <c r="L833" s="9"/>
      <c r="M833" s="9"/>
      <c r="N833" s="7"/>
      <c r="P833" s="18"/>
      <c r="Q833" s="2"/>
      <c r="R833" s="2"/>
      <c r="AF833" s="14"/>
    </row>
    <row r="834" spans="1:32" customFormat="1" x14ac:dyDescent="0.25">
      <c r="A834" s="9"/>
      <c r="C834" s="14"/>
      <c r="E834" t="str">
        <f>IF(ISNA(VLOOKUP(C834,P:Q,2,0)),"",VLOOKUP(C834,P:Q,2,0))</f>
        <v/>
      </c>
      <c r="F834" s="15" t="str">
        <f>IF(ISNA(VLOOKUP(C834,P:R,3,0)),"",VLOOKUP(C834,P:R,3,0))</f>
        <v/>
      </c>
      <c r="G834">
        <f>ROUND(IF(D834&gt;0,0,ABS(D834)),2)</f>
        <v>0</v>
      </c>
      <c r="H834">
        <f>ROUND(IF(D834&gt;0,D834,),2)</f>
        <v>0</v>
      </c>
      <c r="K834" s="7"/>
      <c r="L834" s="9"/>
      <c r="M834" s="9"/>
      <c r="N834" s="7"/>
      <c r="P834" s="18"/>
      <c r="Q834" s="2"/>
      <c r="R834" s="2"/>
      <c r="AF834" s="14"/>
    </row>
    <row r="835" spans="1:32" customFormat="1" x14ac:dyDescent="0.25">
      <c r="A835" s="9"/>
      <c r="C835" s="14"/>
      <c r="E835" t="str">
        <f>IF(ISNA(VLOOKUP(C835,P:Q,2,0)),"",VLOOKUP(C835,P:Q,2,0))</f>
        <v/>
      </c>
      <c r="F835" s="15" t="str">
        <f>IF(ISNA(VLOOKUP(C835,P:R,3,0)),"",VLOOKUP(C835,P:R,3,0))</f>
        <v/>
      </c>
      <c r="G835">
        <f>ROUND(IF(D835&gt;0,0,ABS(D835)),2)</f>
        <v>0</v>
      </c>
      <c r="H835">
        <f>ROUND(IF(D835&gt;0,D835,),2)</f>
        <v>0</v>
      </c>
      <c r="K835" s="7"/>
      <c r="L835" s="9"/>
      <c r="M835" s="9"/>
      <c r="N835" s="7"/>
      <c r="P835" s="18"/>
      <c r="Q835" s="2"/>
      <c r="R835" s="2"/>
      <c r="AF835" s="14"/>
    </row>
    <row r="836" spans="1:32" customFormat="1" x14ac:dyDescent="0.25">
      <c r="A836" s="9"/>
      <c r="C836" s="14"/>
      <c r="E836" t="str">
        <f>IF(ISNA(VLOOKUP(C836,P:Q,2,0)),"",VLOOKUP(C836,P:Q,2,0))</f>
        <v/>
      </c>
      <c r="F836" s="15" t="str">
        <f>IF(ISNA(VLOOKUP(C836,P:R,3,0)),"",VLOOKUP(C836,P:R,3,0))</f>
        <v/>
      </c>
      <c r="G836">
        <f>ROUND(IF(D836&gt;0,0,ABS(D836)),2)</f>
        <v>0</v>
      </c>
      <c r="H836">
        <f>ROUND(IF(D836&gt;0,D836,),2)</f>
        <v>0</v>
      </c>
      <c r="K836" s="7"/>
      <c r="L836" s="9"/>
      <c r="M836" s="9"/>
      <c r="N836" s="7"/>
      <c r="P836" s="18"/>
      <c r="Q836" s="2"/>
      <c r="R836" s="2"/>
      <c r="AF836" s="14"/>
    </row>
    <row r="837" spans="1:32" customFormat="1" x14ac:dyDescent="0.25">
      <c r="A837" s="9"/>
      <c r="C837" s="14"/>
      <c r="E837" t="str">
        <f>IF(ISNA(VLOOKUP(C837,P:Q,2,0)),"",VLOOKUP(C837,P:Q,2,0))</f>
        <v/>
      </c>
      <c r="F837" s="15" t="str">
        <f>IF(ISNA(VLOOKUP(C837,P:R,3,0)),"",VLOOKUP(C837,P:R,3,0))</f>
        <v/>
      </c>
      <c r="G837">
        <f>ROUND(IF(D837&gt;0,0,ABS(D837)),2)</f>
        <v>0</v>
      </c>
      <c r="H837">
        <f>ROUND(IF(D837&gt;0,D837,),2)</f>
        <v>0</v>
      </c>
      <c r="K837" s="7"/>
      <c r="L837" s="9"/>
      <c r="M837" s="9"/>
      <c r="N837" s="7"/>
      <c r="P837" s="18"/>
      <c r="Q837" s="2"/>
      <c r="R837" s="2"/>
      <c r="AF837" s="14"/>
    </row>
    <row r="838" spans="1:32" customFormat="1" x14ac:dyDescent="0.25">
      <c r="A838" s="9"/>
      <c r="C838" s="14"/>
      <c r="E838" t="str">
        <f>IF(ISNA(VLOOKUP(C838,P:Q,2,0)),"",VLOOKUP(C838,P:Q,2,0))</f>
        <v/>
      </c>
      <c r="F838" s="15" t="str">
        <f>IF(ISNA(VLOOKUP(C838,P:R,3,0)),"",VLOOKUP(C838,P:R,3,0))</f>
        <v/>
      </c>
      <c r="G838">
        <f>ROUND(IF(D838&gt;0,0,ABS(D838)),2)</f>
        <v>0</v>
      </c>
      <c r="H838">
        <f>ROUND(IF(D838&gt;0,D838,),2)</f>
        <v>0</v>
      </c>
      <c r="K838" s="7"/>
      <c r="L838" s="9"/>
      <c r="M838" s="9"/>
      <c r="N838" s="7"/>
      <c r="P838" s="18"/>
      <c r="Q838" s="2"/>
      <c r="R838" s="2"/>
      <c r="AF838" s="14"/>
    </row>
    <row r="839" spans="1:32" customFormat="1" x14ac:dyDescent="0.25">
      <c r="A839" s="9"/>
      <c r="C839" s="14"/>
      <c r="E839" t="str">
        <f>IF(ISNA(VLOOKUP(C839,P:Q,2,0)),"",VLOOKUP(C839,P:Q,2,0))</f>
        <v/>
      </c>
      <c r="F839" s="15" t="str">
        <f>IF(ISNA(VLOOKUP(C839,P:R,3,0)),"",VLOOKUP(C839,P:R,3,0))</f>
        <v/>
      </c>
      <c r="G839">
        <f>ROUND(IF(D839&gt;0,0,ABS(D839)),2)</f>
        <v>0</v>
      </c>
      <c r="H839">
        <f>ROUND(IF(D839&gt;0,D839,),2)</f>
        <v>0</v>
      </c>
      <c r="K839" s="7"/>
      <c r="L839" s="9"/>
      <c r="M839" s="9"/>
      <c r="N839" s="7"/>
      <c r="P839" s="18"/>
      <c r="Q839" s="2"/>
      <c r="R839" s="2"/>
      <c r="AF839" s="14"/>
    </row>
    <row r="840" spans="1:32" customFormat="1" x14ac:dyDescent="0.25">
      <c r="A840" s="9"/>
      <c r="C840" s="14"/>
      <c r="E840" t="str">
        <f>IF(ISNA(VLOOKUP(C840,P:Q,2,0)),"",VLOOKUP(C840,P:Q,2,0))</f>
        <v/>
      </c>
      <c r="F840" s="15" t="str">
        <f>IF(ISNA(VLOOKUP(C840,P:R,3,0)),"",VLOOKUP(C840,P:R,3,0))</f>
        <v/>
      </c>
      <c r="G840">
        <f>ROUND(IF(D840&gt;0,0,ABS(D840)),2)</f>
        <v>0</v>
      </c>
      <c r="H840">
        <f>ROUND(IF(D840&gt;0,D840,),2)</f>
        <v>0</v>
      </c>
      <c r="K840" s="7"/>
      <c r="L840" s="9"/>
      <c r="M840" s="9"/>
      <c r="N840" s="7"/>
      <c r="P840" s="18"/>
      <c r="Q840" s="2"/>
      <c r="R840" s="2"/>
      <c r="AF840" s="14"/>
    </row>
    <row r="841" spans="1:32" customFormat="1" x14ac:dyDescent="0.25">
      <c r="A841" s="9"/>
      <c r="C841" s="14"/>
      <c r="E841" t="str">
        <f>IF(ISNA(VLOOKUP(C841,P:Q,2,0)),"",VLOOKUP(C841,P:Q,2,0))</f>
        <v/>
      </c>
      <c r="F841" s="15" t="str">
        <f>IF(ISNA(VLOOKUP(C841,P:R,3,0)),"",VLOOKUP(C841,P:R,3,0))</f>
        <v/>
      </c>
      <c r="G841">
        <f>ROUND(IF(D841&gt;0,0,ABS(D841)),2)</f>
        <v>0</v>
      </c>
      <c r="H841">
        <f>ROUND(IF(D841&gt;0,D841,),2)</f>
        <v>0</v>
      </c>
      <c r="K841" s="7"/>
      <c r="L841" s="9"/>
      <c r="M841" s="9"/>
      <c r="N841" s="7"/>
      <c r="P841" s="18"/>
      <c r="Q841" s="2"/>
      <c r="R841" s="2"/>
      <c r="AF841" s="14"/>
    </row>
    <row r="842" spans="1:32" customFormat="1" x14ac:dyDescent="0.25">
      <c r="A842" s="9"/>
      <c r="C842" s="14"/>
      <c r="E842" t="str">
        <f>IF(ISNA(VLOOKUP(C842,P:Q,2,0)),"",VLOOKUP(C842,P:Q,2,0))</f>
        <v/>
      </c>
      <c r="F842" s="15" t="str">
        <f>IF(ISNA(VLOOKUP(C842,P:R,3,0)),"",VLOOKUP(C842,P:R,3,0))</f>
        <v/>
      </c>
      <c r="G842">
        <f>ROUND(IF(D842&gt;0,0,ABS(D842)),2)</f>
        <v>0</v>
      </c>
      <c r="H842">
        <f>ROUND(IF(D842&gt;0,D842,),2)</f>
        <v>0</v>
      </c>
      <c r="K842" s="7"/>
      <c r="L842" s="9"/>
      <c r="M842" s="9"/>
      <c r="N842" s="7"/>
      <c r="P842" s="18"/>
      <c r="Q842" s="2"/>
      <c r="R842" s="2"/>
      <c r="AF842" s="14"/>
    </row>
    <row r="843" spans="1:32" customFormat="1" x14ac:dyDescent="0.25">
      <c r="A843" s="9"/>
      <c r="C843" s="14"/>
      <c r="E843" t="str">
        <f>IF(ISNA(VLOOKUP(C843,P:Q,2,0)),"",VLOOKUP(C843,P:Q,2,0))</f>
        <v/>
      </c>
      <c r="F843" s="15" t="str">
        <f>IF(ISNA(VLOOKUP(C843,P:R,3,0)),"",VLOOKUP(C843,P:R,3,0))</f>
        <v/>
      </c>
      <c r="G843">
        <f>ROUND(IF(D843&gt;0,0,ABS(D843)),2)</f>
        <v>0</v>
      </c>
      <c r="H843">
        <f>ROUND(IF(D843&gt;0,D843,),2)</f>
        <v>0</v>
      </c>
      <c r="K843" s="7"/>
      <c r="L843" s="9"/>
      <c r="M843" s="9"/>
      <c r="N843" s="7"/>
      <c r="P843" s="18"/>
      <c r="Q843" s="2"/>
      <c r="R843" s="2"/>
      <c r="AF843" s="14"/>
    </row>
    <row r="844" spans="1:32" customFormat="1" x14ac:dyDescent="0.25">
      <c r="A844" s="9"/>
      <c r="C844" s="14"/>
      <c r="E844" t="str">
        <f>IF(ISNA(VLOOKUP(C844,P:Q,2,0)),"",VLOOKUP(C844,P:Q,2,0))</f>
        <v/>
      </c>
      <c r="F844" s="15" t="str">
        <f>IF(ISNA(VLOOKUP(C844,P:R,3,0)),"",VLOOKUP(C844,P:R,3,0))</f>
        <v/>
      </c>
      <c r="G844">
        <f>ROUND(IF(D844&gt;0,0,ABS(D844)),2)</f>
        <v>0</v>
      </c>
      <c r="H844">
        <f>ROUND(IF(D844&gt;0,D844,),2)</f>
        <v>0</v>
      </c>
      <c r="K844" s="7"/>
      <c r="L844" s="9"/>
      <c r="M844" s="9"/>
      <c r="N844" s="7"/>
      <c r="P844" s="18"/>
      <c r="Q844" s="2"/>
      <c r="R844" s="2"/>
      <c r="AF844" s="14"/>
    </row>
    <row r="845" spans="1:32" customFormat="1" ht="15.75" thickBot="1" x14ac:dyDescent="0.3">
      <c r="A845" s="9"/>
      <c r="C845" s="14"/>
      <c r="E845" t="str">
        <f>IF(ISNA(VLOOKUP(C845,P:Q,2,0)),"",VLOOKUP(C845,P:Q,2,0))</f>
        <v/>
      </c>
      <c r="F845" s="15" t="str">
        <f>IF(ISNA(VLOOKUP(C845,P:R,3,0)),"",VLOOKUP(C845,P:R,3,0))</f>
        <v/>
      </c>
      <c r="G845">
        <f>ROUND(IF(D845&gt;0,0,ABS(D845)),2)</f>
        <v>0</v>
      </c>
      <c r="H845">
        <f>ROUND(IF(D845&gt;0,D845,),2)</f>
        <v>0</v>
      </c>
      <c r="K845" s="7"/>
      <c r="L845" s="9"/>
      <c r="M845" s="9"/>
      <c r="N845" s="7"/>
      <c r="P845" s="20"/>
      <c r="Q845" s="3"/>
      <c r="R845" s="3"/>
      <c r="AF845" s="14"/>
    </row>
    <row r="846" spans="1:32" customFormat="1" x14ac:dyDescent="0.25">
      <c r="A846" s="9"/>
      <c r="C846" s="14"/>
      <c r="E846" t="str">
        <f>IF(ISNA(VLOOKUP(C846,P:Q,2,0)),"",VLOOKUP(C846,P:Q,2,0))</f>
        <v/>
      </c>
      <c r="F846" s="15" t="str">
        <f>IF(ISNA(VLOOKUP(C846,P:R,3,0)),"",VLOOKUP(C846,P:R,3,0))</f>
        <v/>
      </c>
      <c r="G846">
        <f>ROUND(IF(D846&gt;0,0,ABS(D846)),2)</f>
        <v>0</v>
      </c>
      <c r="H846">
        <f>ROUND(IF(D846&gt;0,D846,),2)</f>
        <v>0</v>
      </c>
      <c r="K846" s="7"/>
      <c r="L846" s="9"/>
      <c r="M846" s="9"/>
      <c r="N846" s="7"/>
      <c r="P846" s="13"/>
      <c r="Q846" s="4"/>
      <c r="R846" s="4"/>
      <c r="AF846" s="14"/>
    </row>
    <row r="847" spans="1:32" customFormat="1" x14ac:dyDescent="0.25">
      <c r="A847" s="9"/>
      <c r="C847" s="14"/>
      <c r="E847" t="str">
        <f>IF(ISNA(VLOOKUP(C847,P:Q,2,0)),"",VLOOKUP(C847,P:Q,2,0))</f>
        <v/>
      </c>
      <c r="F847" s="15" t="str">
        <f>IF(ISNA(VLOOKUP(C847,P:R,3,0)),"",VLOOKUP(C847,P:R,3,0))</f>
        <v/>
      </c>
      <c r="G847">
        <f>ROUND(IF(D847&gt;0,0,ABS(D847)),2)</f>
        <v>0</v>
      </c>
      <c r="H847">
        <f>ROUND(IF(D847&gt;0,D847,),2)</f>
        <v>0</v>
      </c>
      <c r="K847" s="7"/>
      <c r="L847" s="9"/>
      <c r="M847" s="9"/>
      <c r="N847" s="7"/>
      <c r="P847" s="19"/>
      <c r="Q847" s="5"/>
      <c r="R847" s="5"/>
      <c r="AF847" s="14"/>
    </row>
    <row r="848" spans="1:32" customFormat="1" x14ac:dyDescent="0.25">
      <c r="A848" s="9"/>
      <c r="C848" s="14"/>
      <c r="E848" t="str">
        <f>IF(ISNA(VLOOKUP(C848,P:Q,2,0)),"",VLOOKUP(C848,P:Q,2,0))</f>
        <v/>
      </c>
      <c r="F848" s="15" t="str">
        <f>IF(ISNA(VLOOKUP(C848,P:R,3,0)),"",VLOOKUP(C848,P:R,3,0))</f>
        <v/>
      </c>
      <c r="G848">
        <f>ROUND(IF(D848&gt;0,0,ABS(D848)),2)</f>
        <v>0</v>
      </c>
      <c r="H848">
        <f>ROUND(IF(D848&gt;0,D848,),2)</f>
        <v>0</v>
      </c>
      <c r="K848" s="7"/>
      <c r="L848" s="9"/>
      <c r="M848" s="9"/>
      <c r="N848" s="7"/>
      <c r="P848" s="19"/>
      <c r="Q848" s="5"/>
      <c r="R848" s="5"/>
      <c r="AF848" s="14"/>
    </row>
    <row r="849" spans="1:32" customFormat="1" x14ac:dyDescent="0.25">
      <c r="A849" s="9"/>
      <c r="C849" s="14"/>
      <c r="E849" t="str">
        <f>IF(ISNA(VLOOKUP(C849,P:Q,2,0)),"",VLOOKUP(C849,P:Q,2,0))</f>
        <v/>
      </c>
      <c r="F849" s="15" t="str">
        <f>IF(ISNA(VLOOKUP(C849,P:R,3,0)),"",VLOOKUP(C849,P:R,3,0))</f>
        <v/>
      </c>
      <c r="G849">
        <f>ROUND(IF(D849&gt;0,0,ABS(D849)),2)</f>
        <v>0</v>
      </c>
      <c r="H849">
        <f>ROUND(IF(D849&gt;0,D849,),2)</f>
        <v>0</v>
      </c>
      <c r="K849" s="7"/>
      <c r="L849" s="9"/>
      <c r="M849" s="9"/>
      <c r="N849" s="7"/>
      <c r="P849" s="19"/>
      <c r="Q849" s="5"/>
      <c r="R849" s="5"/>
      <c r="AF849" s="14"/>
    </row>
    <row r="850" spans="1:32" customFormat="1" x14ac:dyDescent="0.25">
      <c r="A850" s="9"/>
      <c r="C850" s="14"/>
      <c r="E850" t="str">
        <f>IF(ISNA(VLOOKUP(C850,P:Q,2,0)),"",VLOOKUP(C850,P:Q,2,0))</f>
        <v/>
      </c>
      <c r="F850" s="15" t="str">
        <f>IF(ISNA(VLOOKUP(C850,P:R,3,0)),"",VLOOKUP(C850,P:R,3,0))</f>
        <v/>
      </c>
      <c r="G850">
        <f>ROUND(IF(D850&gt;0,0,ABS(D850)),2)</f>
        <v>0</v>
      </c>
      <c r="H850">
        <f>ROUND(IF(D850&gt;0,D850,),2)</f>
        <v>0</v>
      </c>
      <c r="K850" s="7"/>
      <c r="L850" s="9"/>
      <c r="M850" s="9"/>
      <c r="N850" s="7"/>
      <c r="P850" s="19"/>
      <c r="Q850" s="5"/>
      <c r="R850" s="5"/>
      <c r="AF850" s="14"/>
    </row>
    <row r="851" spans="1:32" customFormat="1" x14ac:dyDescent="0.25">
      <c r="A851" s="9"/>
      <c r="C851" s="14"/>
      <c r="E851" t="str">
        <f>IF(ISNA(VLOOKUP(C851,P:Q,2,0)),"",VLOOKUP(C851,P:Q,2,0))</f>
        <v/>
      </c>
      <c r="F851" s="15" t="str">
        <f>IF(ISNA(VLOOKUP(C851,P:R,3,0)),"",VLOOKUP(C851,P:R,3,0))</f>
        <v/>
      </c>
      <c r="G851">
        <f>ROUND(IF(D851&gt;0,0,ABS(D851)),2)</f>
        <v>0</v>
      </c>
      <c r="H851">
        <f>ROUND(IF(D851&gt;0,D851,),2)</f>
        <v>0</v>
      </c>
      <c r="K851" s="7"/>
      <c r="L851" s="9"/>
      <c r="M851" s="9"/>
      <c r="N851" s="7"/>
      <c r="P851" s="19"/>
      <c r="Q851" s="5"/>
      <c r="R851" s="5"/>
      <c r="AF851" s="14"/>
    </row>
    <row r="852" spans="1:32" customFormat="1" x14ac:dyDescent="0.25">
      <c r="A852" s="9"/>
      <c r="C852" s="14"/>
      <c r="E852" t="str">
        <f>IF(ISNA(VLOOKUP(C852,P:Q,2,0)),"",VLOOKUP(C852,P:Q,2,0))</f>
        <v/>
      </c>
      <c r="F852" s="15" t="str">
        <f>IF(ISNA(VLOOKUP(C852,P:R,3,0)),"",VLOOKUP(C852,P:R,3,0))</f>
        <v/>
      </c>
      <c r="G852">
        <f>ROUND(IF(D852&gt;0,0,ABS(D852)),2)</f>
        <v>0</v>
      </c>
      <c r="H852">
        <f>ROUND(IF(D852&gt;0,D852,),2)</f>
        <v>0</v>
      </c>
      <c r="K852" s="7"/>
      <c r="L852" s="9"/>
      <c r="M852" s="9"/>
      <c r="N852" s="7"/>
      <c r="P852" s="19"/>
      <c r="Q852" s="5"/>
      <c r="R852" s="5"/>
      <c r="AF852" s="14"/>
    </row>
    <row r="853" spans="1:32" customFormat="1" x14ac:dyDescent="0.25">
      <c r="A853" s="9"/>
      <c r="C853" s="14"/>
      <c r="E853" t="str">
        <f>IF(ISNA(VLOOKUP(C853,P:Q,2,0)),"",VLOOKUP(C853,P:Q,2,0))</f>
        <v/>
      </c>
      <c r="F853" s="15" t="str">
        <f>IF(ISNA(VLOOKUP(C853,P:R,3,0)),"",VLOOKUP(C853,P:R,3,0))</f>
        <v/>
      </c>
      <c r="G853">
        <f>ROUND(IF(D853&gt;0,0,ABS(D853)),2)</f>
        <v>0</v>
      </c>
      <c r="H853">
        <f>ROUND(IF(D853&gt;0,D853,),2)</f>
        <v>0</v>
      </c>
      <c r="K853" s="7"/>
      <c r="L853" s="9"/>
      <c r="M853" s="9"/>
      <c r="N853" s="7"/>
      <c r="P853" s="19"/>
      <c r="Q853" s="5"/>
      <c r="R853" s="5"/>
      <c r="AF853" s="14"/>
    </row>
    <row r="854" spans="1:32" customFormat="1" x14ac:dyDescent="0.25">
      <c r="A854" s="9"/>
      <c r="C854" s="14"/>
      <c r="E854" t="str">
        <f>IF(ISNA(VLOOKUP(C854,P:Q,2,0)),"",VLOOKUP(C854,P:Q,2,0))</f>
        <v/>
      </c>
      <c r="F854" s="15" t="str">
        <f>IF(ISNA(VLOOKUP(C854,P:R,3,0)),"",VLOOKUP(C854,P:R,3,0))</f>
        <v/>
      </c>
      <c r="G854">
        <f>ROUND(IF(D854&gt;0,0,ABS(D854)),2)</f>
        <v>0</v>
      </c>
      <c r="H854">
        <f>ROUND(IF(D854&gt;0,D854,),2)</f>
        <v>0</v>
      </c>
      <c r="K854" s="7"/>
      <c r="L854" s="9"/>
      <c r="M854" s="9"/>
      <c r="N854" s="7"/>
      <c r="P854" s="19"/>
      <c r="Q854" s="5"/>
      <c r="R854" s="5"/>
      <c r="AF854" s="14"/>
    </row>
    <row r="855" spans="1:32" customFormat="1" x14ac:dyDescent="0.25">
      <c r="A855" s="9"/>
      <c r="C855" s="14"/>
      <c r="E855" t="str">
        <f>IF(ISNA(VLOOKUP(C855,P:Q,2,0)),"",VLOOKUP(C855,P:Q,2,0))</f>
        <v/>
      </c>
      <c r="F855" s="15" t="str">
        <f>IF(ISNA(VLOOKUP(C855,P:R,3,0)),"",VLOOKUP(C855,P:R,3,0))</f>
        <v/>
      </c>
      <c r="G855">
        <f>ROUND(IF(D855&gt;0,0,ABS(D855)),2)</f>
        <v>0</v>
      </c>
      <c r="H855">
        <f>ROUND(IF(D855&gt;0,D855,),2)</f>
        <v>0</v>
      </c>
      <c r="K855" s="7"/>
      <c r="L855" s="9"/>
      <c r="M855" s="9"/>
      <c r="N855" s="7"/>
      <c r="P855" s="19"/>
      <c r="Q855" s="5"/>
      <c r="R855" s="5"/>
      <c r="AF855" s="14"/>
    </row>
    <row r="856" spans="1:32" customFormat="1" x14ac:dyDescent="0.25">
      <c r="A856" s="9"/>
      <c r="C856" s="14"/>
      <c r="E856" t="str">
        <f>IF(ISNA(VLOOKUP(C856,P:Q,2,0)),"",VLOOKUP(C856,P:Q,2,0))</f>
        <v/>
      </c>
      <c r="F856" s="15" t="str">
        <f>IF(ISNA(VLOOKUP(C856,P:R,3,0)),"",VLOOKUP(C856,P:R,3,0))</f>
        <v/>
      </c>
      <c r="G856">
        <f>ROUND(IF(D856&gt;0,0,ABS(D856)),2)</f>
        <v>0</v>
      </c>
      <c r="H856">
        <f>ROUND(IF(D856&gt;0,D856,),2)</f>
        <v>0</v>
      </c>
      <c r="K856" s="7"/>
      <c r="L856" s="9"/>
      <c r="M856" s="9"/>
      <c r="N856" s="7"/>
      <c r="P856" s="19"/>
      <c r="Q856" s="5"/>
      <c r="R856" s="5"/>
      <c r="AF856" s="14"/>
    </row>
    <row r="857" spans="1:32" customFormat="1" x14ac:dyDescent="0.25">
      <c r="A857" s="9"/>
      <c r="C857" s="14"/>
      <c r="E857" t="str">
        <f>IF(ISNA(VLOOKUP(C857,P:Q,2,0)),"",VLOOKUP(C857,P:Q,2,0))</f>
        <v/>
      </c>
      <c r="F857" s="15" t="str">
        <f>IF(ISNA(VLOOKUP(C857,P:R,3,0)),"",VLOOKUP(C857,P:R,3,0))</f>
        <v/>
      </c>
      <c r="G857">
        <f>ROUND(IF(D857&gt;0,0,ABS(D857)),2)</f>
        <v>0</v>
      </c>
      <c r="H857">
        <f>ROUND(IF(D857&gt;0,D857,),2)</f>
        <v>0</v>
      </c>
      <c r="K857" s="7"/>
      <c r="L857" s="9"/>
      <c r="M857" s="9"/>
      <c r="N857" s="7"/>
      <c r="P857" s="19"/>
      <c r="Q857" s="5"/>
      <c r="R857" s="5"/>
      <c r="AF857" s="14"/>
    </row>
    <row r="858" spans="1:32" customFormat="1" x14ac:dyDescent="0.25">
      <c r="A858" s="9"/>
      <c r="C858" s="14"/>
      <c r="E858" t="str">
        <f>IF(ISNA(VLOOKUP(C858,P:Q,2,0)),"",VLOOKUP(C858,P:Q,2,0))</f>
        <v/>
      </c>
      <c r="F858" s="15" t="str">
        <f>IF(ISNA(VLOOKUP(C858,P:R,3,0)),"",VLOOKUP(C858,P:R,3,0))</f>
        <v/>
      </c>
      <c r="G858">
        <f>ROUND(IF(D858&gt;0,0,ABS(D858)),2)</f>
        <v>0</v>
      </c>
      <c r="H858">
        <f>ROUND(IF(D858&gt;0,D858,),2)</f>
        <v>0</v>
      </c>
      <c r="K858" s="7"/>
      <c r="L858" s="9"/>
      <c r="M858" s="9"/>
      <c r="N858" s="7"/>
      <c r="P858" s="19"/>
      <c r="Q858" s="5"/>
      <c r="R858" s="5"/>
      <c r="AF858" s="14"/>
    </row>
    <row r="859" spans="1:32" customFormat="1" x14ac:dyDescent="0.25">
      <c r="A859" s="9"/>
      <c r="C859" s="14"/>
      <c r="E859" t="str">
        <f>IF(ISNA(VLOOKUP(C859,P:Q,2,0)),"",VLOOKUP(C859,P:Q,2,0))</f>
        <v/>
      </c>
      <c r="F859" s="15" t="str">
        <f>IF(ISNA(VLOOKUP(C859,P:R,3,0)),"",VLOOKUP(C859,P:R,3,0))</f>
        <v/>
      </c>
      <c r="G859">
        <f>ROUND(IF(D859&gt;0,0,ABS(D859)),2)</f>
        <v>0</v>
      </c>
      <c r="H859">
        <f>ROUND(IF(D859&gt;0,D859,),2)</f>
        <v>0</v>
      </c>
      <c r="K859" s="7"/>
      <c r="L859" s="9"/>
      <c r="M859" s="9"/>
      <c r="N859" s="7"/>
      <c r="P859" s="19"/>
      <c r="Q859" s="5"/>
      <c r="R859" s="5"/>
      <c r="AF859" s="14"/>
    </row>
    <row r="860" spans="1:32" customFormat="1" x14ac:dyDescent="0.25">
      <c r="A860" s="9"/>
      <c r="C860" s="14"/>
      <c r="E860" t="str">
        <f>IF(ISNA(VLOOKUP(C860,P:Q,2,0)),"",VLOOKUP(C860,P:Q,2,0))</f>
        <v/>
      </c>
      <c r="F860" s="15" t="str">
        <f>IF(ISNA(VLOOKUP(C860,P:R,3,0)),"",VLOOKUP(C860,P:R,3,0))</f>
        <v/>
      </c>
      <c r="G860">
        <f>ROUND(IF(D860&gt;0,0,ABS(D860)),2)</f>
        <v>0</v>
      </c>
      <c r="H860">
        <f>ROUND(IF(D860&gt;0,D860,),2)</f>
        <v>0</v>
      </c>
      <c r="K860" s="7"/>
      <c r="L860" s="9"/>
      <c r="M860" s="9"/>
      <c r="N860" s="7"/>
      <c r="P860" s="19"/>
      <c r="Q860" s="5"/>
      <c r="R860" s="5"/>
      <c r="AF860" s="14"/>
    </row>
    <row r="861" spans="1:32" customFormat="1" x14ac:dyDescent="0.25">
      <c r="A861" s="9"/>
      <c r="C861" s="14"/>
      <c r="E861" t="str">
        <f>IF(ISNA(VLOOKUP(C861,P:Q,2,0)),"",VLOOKUP(C861,P:Q,2,0))</f>
        <v/>
      </c>
      <c r="F861" s="15" t="str">
        <f>IF(ISNA(VLOOKUP(C861,P:R,3,0)),"",VLOOKUP(C861,P:R,3,0))</f>
        <v/>
      </c>
      <c r="G861">
        <f>ROUND(IF(D861&gt;0,0,ABS(D861)),2)</f>
        <v>0</v>
      </c>
      <c r="H861">
        <f>ROUND(IF(D861&gt;0,D861,),2)</f>
        <v>0</v>
      </c>
      <c r="K861" s="7"/>
      <c r="L861" s="9"/>
      <c r="M861" s="9"/>
      <c r="N861" s="7"/>
      <c r="P861" s="19"/>
      <c r="Q861" s="5"/>
      <c r="R861" s="5"/>
      <c r="AF861" s="14"/>
    </row>
    <row r="862" spans="1:32" customFormat="1" x14ac:dyDescent="0.25">
      <c r="A862" s="9"/>
      <c r="C862" s="14"/>
      <c r="E862" t="str">
        <f>IF(ISNA(VLOOKUP(C862,P:Q,2,0)),"",VLOOKUP(C862,P:Q,2,0))</f>
        <v/>
      </c>
      <c r="F862" s="15" t="str">
        <f>IF(ISNA(VLOOKUP(C862,P:R,3,0)),"",VLOOKUP(C862,P:R,3,0))</f>
        <v/>
      </c>
      <c r="G862">
        <f>ROUND(IF(D862&gt;0,0,ABS(D862)),2)</f>
        <v>0</v>
      </c>
      <c r="H862">
        <f>ROUND(IF(D862&gt;0,D862,),2)</f>
        <v>0</v>
      </c>
      <c r="K862" s="7"/>
      <c r="L862" s="9"/>
      <c r="M862" s="9"/>
      <c r="N862" s="7"/>
      <c r="P862" s="19"/>
      <c r="Q862" s="5"/>
      <c r="R862" s="5"/>
      <c r="AF862" s="14"/>
    </row>
    <row r="863" spans="1:32" customFormat="1" x14ac:dyDescent="0.25">
      <c r="A863" s="9"/>
      <c r="C863" s="14"/>
      <c r="E863" t="str">
        <f>IF(ISNA(VLOOKUP(C863,P:Q,2,0)),"",VLOOKUP(C863,P:Q,2,0))</f>
        <v/>
      </c>
      <c r="F863" s="15" t="str">
        <f>IF(ISNA(VLOOKUP(C863,P:R,3,0)),"",VLOOKUP(C863,P:R,3,0))</f>
        <v/>
      </c>
      <c r="G863">
        <f>ROUND(IF(D863&gt;0,0,ABS(D863)),2)</f>
        <v>0</v>
      </c>
      <c r="H863">
        <f>ROUND(IF(D863&gt;0,D863,),2)</f>
        <v>0</v>
      </c>
      <c r="K863" s="7"/>
      <c r="L863" s="9"/>
      <c r="M863" s="9"/>
      <c r="N863" s="7"/>
      <c r="P863" s="19"/>
      <c r="Q863" s="5"/>
      <c r="R863" s="5"/>
      <c r="AF863" s="14"/>
    </row>
    <row r="864" spans="1:32" customFormat="1" x14ac:dyDescent="0.25">
      <c r="A864" s="9"/>
      <c r="C864" s="14"/>
      <c r="E864" t="str">
        <f>IF(ISNA(VLOOKUP(C864,P:Q,2,0)),"",VLOOKUP(C864,P:Q,2,0))</f>
        <v/>
      </c>
      <c r="F864" s="15" t="str">
        <f>IF(ISNA(VLOOKUP(C864,P:R,3,0)),"",VLOOKUP(C864,P:R,3,0))</f>
        <v/>
      </c>
      <c r="G864">
        <f>ROUND(IF(D864&gt;0,0,ABS(D864)),2)</f>
        <v>0</v>
      </c>
      <c r="H864">
        <f>ROUND(IF(D864&gt;0,D864,),2)</f>
        <v>0</v>
      </c>
      <c r="K864" s="7"/>
      <c r="L864" s="9"/>
      <c r="M864" s="9"/>
      <c r="N864" s="7"/>
      <c r="P864" s="19"/>
      <c r="Q864" s="5"/>
      <c r="R864" s="5"/>
      <c r="AF864" s="14"/>
    </row>
    <row r="865" spans="1:32" customFormat="1" x14ac:dyDescent="0.25">
      <c r="A865" s="9"/>
      <c r="C865" s="14"/>
      <c r="E865" t="str">
        <f>IF(ISNA(VLOOKUP(C865,P:Q,2,0)),"",VLOOKUP(C865,P:Q,2,0))</f>
        <v/>
      </c>
      <c r="F865" s="15" t="str">
        <f>IF(ISNA(VLOOKUP(C865,P:R,3,0)),"",VLOOKUP(C865,P:R,3,0))</f>
        <v/>
      </c>
      <c r="G865">
        <f>ROUND(IF(D865&gt;0,0,ABS(D865)),2)</f>
        <v>0</v>
      </c>
      <c r="H865">
        <f>ROUND(IF(D865&gt;0,D865,),2)</f>
        <v>0</v>
      </c>
      <c r="K865" s="7"/>
      <c r="L865" s="9"/>
      <c r="M865" s="9"/>
      <c r="N865" s="7"/>
      <c r="P865" s="19"/>
      <c r="Q865" s="5"/>
      <c r="R865" s="5"/>
      <c r="AF865" s="14"/>
    </row>
    <row r="866" spans="1:32" customFormat="1" x14ac:dyDescent="0.25">
      <c r="A866" s="9"/>
      <c r="C866" s="14"/>
      <c r="E866" t="str">
        <f>IF(ISNA(VLOOKUP(C866,P:Q,2,0)),"",VLOOKUP(C866,P:Q,2,0))</f>
        <v/>
      </c>
      <c r="F866" s="15" t="str">
        <f>IF(ISNA(VLOOKUP(C866,P:R,3,0)),"",VLOOKUP(C866,P:R,3,0))</f>
        <v/>
      </c>
      <c r="G866">
        <f>ROUND(IF(D866&gt;0,0,ABS(D866)),2)</f>
        <v>0</v>
      </c>
      <c r="H866">
        <f>ROUND(IF(D866&gt;0,D866,),2)</f>
        <v>0</v>
      </c>
      <c r="K866" s="7"/>
      <c r="L866" s="9"/>
      <c r="M866" s="9"/>
      <c r="N866" s="7"/>
      <c r="P866" s="19"/>
      <c r="Q866" s="5"/>
      <c r="R866" s="5"/>
      <c r="AF866" s="14"/>
    </row>
    <row r="867" spans="1:32" customFormat="1" x14ac:dyDescent="0.25">
      <c r="A867" s="9"/>
      <c r="C867" s="14"/>
      <c r="E867" t="str">
        <f>IF(ISNA(VLOOKUP(C867,P:Q,2,0)),"",VLOOKUP(C867,P:Q,2,0))</f>
        <v/>
      </c>
      <c r="F867" s="15" t="str">
        <f>IF(ISNA(VLOOKUP(C867,P:R,3,0)),"",VLOOKUP(C867,P:R,3,0))</f>
        <v/>
      </c>
      <c r="G867">
        <f>ROUND(IF(D867&gt;0,0,ABS(D867)),2)</f>
        <v>0</v>
      </c>
      <c r="H867">
        <f>ROUND(IF(D867&gt;0,D867,),2)</f>
        <v>0</v>
      </c>
      <c r="K867" s="7"/>
      <c r="L867" s="9"/>
      <c r="M867" s="9"/>
      <c r="N867" s="7"/>
      <c r="P867" s="19"/>
      <c r="Q867" s="5"/>
      <c r="R867" s="5"/>
      <c r="AF867" s="14"/>
    </row>
    <row r="868" spans="1:32" customFormat="1" x14ac:dyDescent="0.25">
      <c r="A868" s="9"/>
      <c r="C868" s="14"/>
      <c r="E868" t="str">
        <f>IF(ISNA(VLOOKUP(C868,P:Q,2,0)),"",VLOOKUP(C868,P:Q,2,0))</f>
        <v/>
      </c>
      <c r="F868" s="15" t="str">
        <f>IF(ISNA(VLOOKUP(C868,P:R,3,0)),"",VLOOKUP(C868,P:R,3,0))</f>
        <v/>
      </c>
      <c r="G868">
        <f>ROUND(IF(D868&gt;0,0,ABS(D868)),2)</f>
        <v>0</v>
      </c>
      <c r="H868">
        <f>ROUND(IF(D868&gt;0,D868,),2)</f>
        <v>0</v>
      </c>
      <c r="K868" s="7"/>
      <c r="L868" s="9"/>
      <c r="M868" s="9"/>
      <c r="N868" s="7"/>
      <c r="P868" s="19"/>
      <c r="Q868" s="5"/>
      <c r="R868" s="5"/>
      <c r="AF868" s="14"/>
    </row>
    <row r="869" spans="1:32" customFormat="1" x14ac:dyDescent="0.25">
      <c r="A869" s="9"/>
      <c r="C869" s="14"/>
      <c r="E869" t="str">
        <f>IF(ISNA(VLOOKUP(C869,P:Q,2,0)),"",VLOOKUP(C869,P:Q,2,0))</f>
        <v/>
      </c>
      <c r="F869" s="15" t="str">
        <f>IF(ISNA(VLOOKUP(C869,P:R,3,0)),"",VLOOKUP(C869,P:R,3,0))</f>
        <v/>
      </c>
      <c r="G869">
        <f>ROUND(IF(D869&gt;0,0,ABS(D869)),2)</f>
        <v>0</v>
      </c>
      <c r="H869">
        <f>ROUND(IF(D869&gt;0,D869,),2)</f>
        <v>0</v>
      </c>
      <c r="K869" s="7"/>
      <c r="L869" s="9"/>
      <c r="M869" s="9"/>
      <c r="N869" s="7"/>
      <c r="P869" s="19"/>
      <c r="Q869" s="5"/>
      <c r="R869" s="5"/>
      <c r="AF869" s="14"/>
    </row>
    <row r="870" spans="1:32" customFormat="1" x14ac:dyDescent="0.25">
      <c r="A870" s="9"/>
      <c r="C870" s="14"/>
      <c r="E870" t="str">
        <f>IF(ISNA(VLOOKUP(C870,P:Q,2,0)),"",VLOOKUP(C870,P:Q,2,0))</f>
        <v/>
      </c>
      <c r="F870" s="15" t="str">
        <f>IF(ISNA(VLOOKUP(C870,P:R,3,0)),"",VLOOKUP(C870,P:R,3,0))</f>
        <v/>
      </c>
      <c r="G870">
        <f>ROUND(IF(D870&gt;0,0,ABS(D870)),2)</f>
        <v>0</v>
      </c>
      <c r="H870">
        <f>ROUND(IF(D870&gt;0,D870,),2)</f>
        <v>0</v>
      </c>
      <c r="K870" s="7"/>
      <c r="L870" s="9"/>
      <c r="M870" s="9"/>
      <c r="N870" s="7"/>
      <c r="P870" s="19"/>
      <c r="Q870" s="5"/>
      <c r="R870" s="5"/>
      <c r="AF870" s="14"/>
    </row>
    <row r="871" spans="1:32" customFormat="1" x14ac:dyDescent="0.25">
      <c r="A871" s="9"/>
      <c r="C871" s="14"/>
      <c r="E871" t="str">
        <f>IF(ISNA(VLOOKUP(C871,P:Q,2,0)),"",VLOOKUP(C871,P:Q,2,0))</f>
        <v/>
      </c>
      <c r="F871" s="15" t="str">
        <f>IF(ISNA(VLOOKUP(C871,P:R,3,0)),"",VLOOKUP(C871,P:R,3,0))</f>
        <v/>
      </c>
      <c r="G871">
        <f>ROUND(IF(D871&gt;0,0,ABS(D871)),2)</f>
        <v>0</v>
      </c>
      <c r="H871">
        <f>ROUND(IF(D871&gt;0,D871,),2)</f>
        <v>0</v>
      </c>
      <c r="K871" s="7"/>
      <c r="L871" s="9"/>
      <c r="M871" s="9"/>
      <c r="N871" s="7"/>
      <c r="P871" s="19"/>
      <c r="Q871" s="5"/>
      <c r="R871" s="5"/>
      <c r="AF871" s="14"/>
    </row>
    <row r="872" spans="1:32" customFormat="1" x14ac:dyDescent="0.25">
      <c r="A872" s="9"/>
      <c r="C872" s="14"/>
      <c r="E872" t="str">
        <f>IF(ISNA(VLOOKUP(C872,P:Q,2,0)),"",VLOOKUP(C872,P:Q,2,0))</f>
        <v/>
      </c>
      <c r="F872" s="15" t="str">
        <f>IF(ISNA(VLOOKUP(C872,P:R,3,0)),"",VLOOKUP(C872,P:R,3,0))</f>
        <v/>
      </c>
      <c r="G872">
        <f>ROUND(IF(D872&gt;0,0,ABS(D872)),2)</f>
        <v>0</v>
      </c>
      <c r="H872">
        <f>ROUND(IF(D872&gt;0,D872,),2)</f>
        <v>0</v>
      </c>
      <c r="K872" s="7"/>
      <c r="L872" s="9"/>
      <c r="M872" s="9"/>
      <c r="N872" s="7"/>
      <c r="P872" s="19"/>
      <c r="Q872" s="5"/>
      <c r="R872" s="5"/>
      <c r="AF872" s="14"/>
    </row>
    <row r="873" spans="1:32" customFormat="1" x14ac:dyDescent="0.25">
      <c r="A873" s="9"/>
      <c r="C873" s="14"/>
      <c r="E873" t="str">
        <f>IF(ISNA(VLOOKUP(C873,P:Q,2,0)),"",VLOOKUP(C873,P:Q,2,0))</f>
        <v/>
      </c>
      <c r="F873" s="15" t="str">
        <f>IF(ISNA(VLOOKUP(C873,P:R,3,0)),"",VLOOKUP(C873,P:R,3,0))</f>
        <v/>
      </c>
      <c r="G873">
        <f>ROUND(IF(D873&gt;0,0,ABS(D873)),2)</f>
        <v>0</v>
      </c>
      <c r="H873">
        <f>ROUND(IF(D873&gt;0,D873,),2)</f>
        <v>0</v>
      </c>
      <c r="K873" s="7"/>
      <c r="L873" s="9"/>
      <c r="M873" s="9"/>
      <c r="N873" s="7"/>
      <c r="P873" s="19"/>
      <c r="Q873" s="5"/>
      <c r="R873" s="5"/>
      <c r="AF873" s="14"/>
    </row>
    <row r="874" spans="1:32" customFormat="1" x14ac:dyDescent="0.25">
      <c r="A874" s="9"/>
      <c r="C874" s="14"/>
      <c r="E874" t="str">
        <f>IF(ISNA(VLOOKUP(C874,P:Q,2,0)),"",VLOOKUP(C874,P:Q,2,0))</f>
        <v/>
      </c>
      <c r="F874" s="15" t="str">
        <f>IF(ISNA(VLOOKUP(C874,P:R,3,0)),"",VLOOKUP(C874,P:R,3,0))</f>
        <v/>
      </c>
      <c r="G874">
        <f>ROUND(IF(D874&gt;0,0,ABS(D874)),2)</f>
        <v>0</v>
      </c>
      <c r="H874">
        <f>ROUND(IF(D874&gt;0,D874,),2)</f>
        <v>0</v>
      </c>
      <c r="K874" s="7"/>
      <c r="L874" s="9"/>
      <c r="M874" s="9"/>
      <c r="N874" s="7"/>
      <c r="P874" s="19"/>
      <c r="Q874" s="5"/>
      <c r="R874" s="5"/>
      <c r="AF874" s="14"/>
    </row>
    <row r="875" spans="1:32" customFormat="1" x14ac:dyDescent="0.25">
      <c r="A875" s="9"/>
      <c r="C875" s="14"/>
      <c r="E875" t="str">
        <f>IF(ISNA(VLOOKUP(C875,P:Q,2,0)),"",VLOOKUP(C875,P:Q,2,0))</f>
        <v/>
      </c>
      <c r="F875" s="15" t="str">
        <f>IF(ISNA(VLOOKUP(C875,P:R,3,0)),"",VLOOKUP(C875,P:R,3,0))</f>
        <v/>
      </c>
      <c r="G875">
        <f>ROUND(IF(D875&gt;0,0,ABS(D875)),2)</f>
        <v>0</v>
      </c>
      <c r="H875">
        <f>ROUND(IF(D875&gt;0,D875,),2)</f>
        <v>0</v>
      </c>
      <c r="K875" s="7"/>
      <c r="L875" s="9"/>
      <c r="M875" s="9"/>
      <c r="N875" s="7"/>
      <c r="P875" s="19"/>
      <c r="Q875" s="5"/>
      <c r="R875" s="5"/>
      <c r="AF875" s="14"/>
    </row>
    <row r="876" spans="1:32" customFormat="1" x14ac:dyDescent="0.25">
      <c r="A876" s="9"/>
      <c r="C876" s="14"/>
      <c r="E876" t="str">
        <f>IF(ISNA(VLOOKUP(C876,P:Q,2,0)),"",VLOOKUP(C876,P:Q,2,0))</f>
        <v/>
      </c>
      <c r="F876" s="15" t="str">
        <f>IF(ISNA(VLOOKUP(C876,P:R,3,0)),"",VLOOKUP(C876,P:R,3,0))</f>
        <v/>
      </c>
      <c r="G876">
        <f>ROUND(IF(D876&gt;0,0,ABS(D876)),2)</f>
        <v>0</v>
      </c>
      <c r="H876">
        <f>ROUND(IF(D876&gt;0,D876,),2)</f>
        <v>0</v>
      </c>
      <c r="K876" s="7"/>
      <c r="L876" s="9"/>
      <c r="M876" s="9"/>
      <c r="N876" s="7"/>
      <c r="P876" s="19"/>
      <c r="Q876" s="5"/>
      <c r="R876" s="5"/>
      <c r="AF876" s="14"/>
    </row>
    <row r="877" spans="1:32" customFormat="1" x14ac:dyDescent="0.25">
      <c r="A877" s="9"/>
      <c r="C877" s="14"/>
      <c r="E877" t="str">
        <f>IF(ISNA(VLOOKUP(C877,P:Q,2,0)),"",VLOOKUP(C877,P:Q,2,0))</f>
        <v/>
      </c>
      <c r="F877" s="15" t="str">
        <f>IF(ISNA(VLOOKUP(C877,P:R,3,0)),"",VLOOKUP(C877,P:R,3,0))</f>
        <v/>
      </c>
      <c r="G877">
        <f>ROUND(IF(D877&gt;0,0,ABS(D877)),2)</f>
        <v>0</v>
      </c>
      <c r="H877">
        <f>ROUND(IF(D877&gt;0,D877,),2)</f>
        <v>0</v>
      </c>
      <c r="K877" s="7"/>
      <c r="L877" s="9"/>
      <c r="M877" s="9"/>
      <c r="N877" s="7"/>
      <c r="P877" s="19"/>
      <c r="Q877" s="5"/>
      <c r="R877" s="5"/>
      <c r="AF877" s="14"/>
    </row>
    <row r="878" spans="1:32" customFormat="1" x14ac:dyDescent="0.25">
      <c r="A878" s="9"/>
      <c r="C878" s="14"/>
      <c r="E878" t="str">
        <f>IF(ISNA(VLOOKUP(C878,P:Q,2,0)),"",VLOOKUP(C878,P:Q,2,0))</f>
        <v/>
      </c>
      <c r="F878" s="15" t="str">
        <f>IF(ISNA(VLOOKUP(C878,P:R,3,0)),"",VLOOKUP(C878,P:R,3,0))</f>
        <v/>
      </c>
      <c r="G878">
        <f>ROUND(IF(D878&gt;0,0,ABS(D878)),2)</f>
        <v>0</v>
      </c>
      <c r="H878">
        <f>ROUND(IF(D878&gt;0,D878,),2)</f>
        <v>0</v>
      </c>
      <c r="K878" s="7"/>
      <c r="L878" s="9"/>
      <c r="M878" s="9"/>
      <c r="N878" s="7"/>
      <c r="P878" s="19"/>
      <c r="Q878" s="5"/>
      <c r="R878" s="5"/>
      <c r="AF878" s="14"/>
    </row>
    <row r="879" spans="1:32" customFormat="1" x14ac:dyDescent="0.25">
      <c r="A879" s="9"/>
      <c r="C879" s="14"/>
      <c r="E879" t="str">
        <f>IF(ISNA(VLOOKUP(C879,P:Q,2,0)),"",VLOOKUP(C879,P:Q,2,0))</f>
        <v/>
      </c>
      <c r="F879" s="15" t="str">
        <f>IF(ISNA(VLOOKUP(C879,P:R,3,0)),"",VLOOKUP(C879,P:R,3,0))</f>
        <v/>
      </c>
      <c r="G879">
        <f>ROUND(IF(D879&gt;0,0,ABS(D879)),2)</f>
        <v>0</v>
      </c>
      <c r="H879">
        <f>ROUND(IF(D879&gt;0,D879,),2)</f>
        <v>0</v>
      </c>
      <c r="K879" s="7"/>
      <c r="L879" s="9"/>
      <c r="M879" s="9"/>
      <c r="N879" s="7"/>
      <c r="P879" s="19"/>
      <c r="Q879" s="5"/>
      <c r="R879" s="5"/>
      <c r="AF879" s="14"/>
    </row>
    <row r="880" spans="1:32" customFormat="1" x14ac:dyDescent="0.25">
      <c r="A880" s="9"/>
      <c r="C880" s="14"/>
      <c r="E880" t="str">
        <f>IF(ISNA(VLOOKUP(C880,P:Q,2,0)),"",VLOOKUP(C880,P:Q,2,0))</f>
        <v/>
      </c>
      <c r="F880" s="15" t="str">
        <f>IF(ISNA(VLOOKUP(C880,P:R,3,0)),"",VLOOKUP(C880,P:R,3,0))</f>
        <v/>
      </c>
      <c r="G880">
        <f>ROUND(IF(D880&gt;0,0,ABS(D880)),2)</f>
        <v>0</v>
      </c>
      <c r="H880">
        <f>ROUND(IF(D880&gt;0,D880,),2)</f>
        <v>0</v>
      </c>
      <c r="K880" s="7"/>
      <c r="L880" s="9"/>
      <c r="M880" s="9"/>
      <c r="N880" s="7"/>
      <c r="P880" s="19"/>
      <c r="Q880" s="5"/>
      <c r="R880" s="5"/>
      <c r="AF880" s="14"/>
    </row>
    <row r="881" spans="1:32" customFormat="1" x14ac:dyDescent="0.25">
      <c r="A881" s="9"/>
      <c r="C881" s="14"/>
      <c r="E881" t="str">
        <f>IF(ISNA(VLOOKUP(C881,P:Q,2,0)),"",VLOOKUP(C881,P:Q,2,0))</f>
        <v/>
      </c>
      <c r="F881" s="15" t="str">
        <f>IF(ISNA(VLOOKUP(C881,P:R,3,0)),"",VLOOKUP(C881,P:R,3,0))</f>
        <v/>
      </c>
      <c r="G881">
        <f>ROUND(IF(D881&gt;0,0,ABS(D881)),2)</f>
        <v>0</v>
      </c>
      <c r="H881">
        <f>ROUND(IF(D881&gt;0,D881,),2)</f>
        <v>0</v>
      </c>
      <c r="K881" s="7"/>
      <c r="L881" s="9"/>
      <c r="M881" s="9"/>
      <c r="N881" s="7"/>
      <c r="P881" s="19"/>
      <c r="Q881" s="5"/>
      <c r="R881" s="5"/>
      <c r="AF881" s="14"/>
    </row>
    <row r="882" spans="1:32" customFormat="1" x14ac:dyDescent="0.25">
      <c r="A882" s="9"/>
      <c r="C882" s="14"/>
      <c r="E882" t="str">
        <f>IF(ISNA(VLOOKUP(C882,P:Q,2,0)),"",VLOOKUP(C882,P:Q,2,0))</f>
        <v/>
      </c>
      <c r="F882" s="15" t="str">
        <f>IF(ISNA(VLOOKUP(C882,P:R,3,0)),"",VLOOKUP(C882,P:R,3,0))</f>
        <v/>
      </c>
      <c r="G882">
        <f>ROUND(IF(D882&gt;0,0,ABS(D882)),2)</f>
        <v>0</v>
      </c>
      <c r="H882">
        <f>ROUND(IF(D882&gt;0,D882,),2)</f>
        <v>0</v>
      </c>
      <c r="K882" s="7"/>
      <c r="L882" s="9"/>
      <c r="M882" s="9"/>
      <c r="N882" s="7"/>
      <c r="P882" s="19"/>
      <c r="Q882" s="5"/>
      <c r="R882" s="5"/>
      <c r="AF882" s="14"/>
    </row>
    <row r="883" spans="1:32" customFormat="1" x14ac:dyDescent="0.25">
      <c r="A883" s="9"/>
      <c r="C883" s="14"/>
      <c r="E883" t="str">
        <f>IF(ISNA(VLOOKUP(C883,P:Q,2,0)),"",VLOOKUP(C883,P:Q,2,0))</f>
        <v/>
      </c>
      <c r="F883" s="15" t="str">
        <f>IF(ISNA(VLOOKUP(C883,P:R,3,0)),"",VLOOKUP(C883,P:R,3,0))</f>
        <v/>
      </c>
      <c r="G883">
        <f>ROUND(IF(D883&gt;0,0,ABS(D883)),2)</f>
        <v>0</v>
      </c>
      <c r="H883">
        <f>ROUND(IF(D883&gt;0,D883,),2)</f>
        <v>0</v>
      </c>
      <c r="K883" s="7"/>
      <c r="L883" s="9"/>
      <c r="M883" s="9"/>
      <c r="N883" s="7"/>
      <c r="P883" s="19"/>
      <c r="Q883" s="5"/>
      <c r="R883" s="5"/>
      <c r="AF883" s="14"/>
    </row>
    <row r="884" spans="1:32" customFormat="1" x14ac:dyDescent="0.25">
      <c r="A884" s="9"/>
      <c r="C884" s="14"/>
      <c r="E884" t="str">
        <f>IF(ISNA(VLOOKUP(C884,P:Q,2,0)),"",VLOOKUP(C884,P:Q,2,0))</f>
        <v/>
      </c>
      <c r="F884" s="15" t="str">
        <f>IF(ISNA(VLOOKUP(C884,P:R,3,0)),"",VLOOKUP(C884,P:R,3,0))</f>
        <v/>
      </c>
      <c r="G884">
        <f>ROUND(IF(D884&gt;0,0,ABS(D884)),2)</f>
        <v>0</v>
      </c>
      <c r="H884">
        <f>ROUND(IF(D884&gt;0,D884,),2)</f>
        <v>0</v>
      </c>
      <c r="K884" s="7"/>
      <c r="L884" s="9"/>
      <c r="M884" s="9"/>
      <c r="N884" s="7"/>
      <c r="P884" s="19"/>
      <c r="Q884" s="5"/>
      <c r="R884" s="5"/>
      <c r="AF884" s="14"/>
    </row>
    <row r="885" spans="1:32" customFormat="1" x14ac:dyDescent="0.25">
      <c r="A885" s="9"/>
      <c r="C885" s="14"/>
      <c r="E885" t="str">
        <f>IF(ISNA(VLOOKUP(C885,P:Q,2,0)),"",VLOOKUP(C885,P:Q,2,0))</f>
        <v/>
      </c>
      <c r="F885" s="15" t="str">
        <f>IF(ISNA(VLOOKUP(C885,P:R,3,0)),"",VLOOKUP(C885,P:R,3,0))</f>
        <v/>
      </c>
      <c r="G885">
        <f>ROUND(IF(D885&gt;0,0,ABS(D885)),2)</f>
        <v>0</v>
      </c>
      <c r="H885">
        <f>ROUND(IF(D885&gt;0,D885,),2)</f>
        <v>0</v>
      </c>
      <c r="K885" s="7"/>
      <c r="L885" s="9"/>
      <c r="M885" s="9"/>
      <c r="N885" s="7"/>
      <c r="P885" s="19"/>
      <c r="Q885" s="5"/>
      <c r="R885" s="5"/>
      <c r="AF885" s="14"/>
    </row>
    <row r="886" spans="1:32" customFormat="1" x14ac:dyDescent="0.25">
      <c r="A886" s="9"/>
      <c r="C886" s="14"/>
      <c r="E886" t="str">
        <f>IF(ISNA(VLOOKUP(C886,P:Q,2,0)),"",VLOOKUP(C886,P:Q,2,0))</f>
        <v/>
      </c>
      <c r="F886" s="15" t="str">
        <f>IF(ISNA(VLOOKUP(C886,P:R,3,0)),"",VLOOKUP(C886,P:R,3,0))</f>
        <v/>
      </c>
      <c r="G886">
        <f>ROUND(IF(D886&gt;0,0,ABS(D886)),2)</f>
        <v>0</v>
      </c>
      <c r="H886">
        <f>ROUND(IF(D886&gt;0,D886,),2)</f>
        <v>0</v>
      </c>
      <c r="K886" s="7"/>
      <c r="L886" s="9"/>
      <c r="M886" s="9"/>
      <c r="N886" s="7"/>
      <c r="P886" s="19"/>
      <c r="Q886" s="5"/>
      <c r="R886" s="5"/>
      <c r="AF886" s="14"/>
    </row>
    <row r="887" spans="1:32" customFormat="1" x14ac:dyDescent="0.25">
      <c r="A887" s="9"/>
      <c r="C887" s="14"/>
      <c r="E887" t="str">
        <f>IF(ISNA(VLOOKUP(C887,P:Q,2,0)),"",VLOOKUP(C887,P:Q,2,0))</f>
        <v/>
      </c>
      <c r="F887" s="15" t="str">
        <f>IF(ISNA(VLOOKUP(C887,P:R,3,0)),"",VLOOKUP(C887,P:R,3,0))</f>
        <v/>
      </c>
      <c r="G887">
        <f>ROUND(IF(D887&gt;0,0,ABS(D887)),2)</f>
        <v>0</v>
      </c>
      <c r="H887">
        <f>ROUND(IF(D887&gt;0,D887,),2)</f>
        <v>0</v>
      </c>
      <c r="K887" s="7"/>
      <c r="L887" s="9"/>
      <c r="M887" s="9"/>
      <c r="N887" s="7"/>
      <c r="P887" s="19"/>
      <c r="Q887" s="5"/>
      <c r="R887" s="5"/>
      <c r="AF887" s="14"/>
    </row>
    <row r="888" spans="1:32" customFormat="1" x14ac:dyDescent="0.25">
      <c r="A888" s="9"/>
      <c r="C888" s="14"/>
      <c r="E888" t="str">
        <f>IF(ISNA(VLOOKUP(C888,P:Q,2,0)),"",VLOOKUP(C888,P:Q,2,0))</f>
        <v/>
      </c>
      <c r="F888" s="15" t="str">
        <f>IF(ISNA(VLOOKUP(C888,P:R,3,0)),"",VLOOKUP(C888,P:R,3,0))</f>
        <v/>
      </c>
      <c r="G888">
        <f>ROUND(IF(D888&gt;0,0,ABS(D888)),2)</f>
        <v>0</v>
      </c>
      <c r="H888">
        <f>ROUND(IF(D888&gt;0,D888,),2)</f>
        <v>0</v>
      </c>
      <c r="K888" s="7"/>
      <c r="L888" s="9"/>
      <c r="M888" s="9"/>
      <c r="N888" s="7"/>
      <c r="P888" s="19"/>
      <c r="Q888" s="5"/>
      <c r="R888" s="5"/>
      <c r="AF888" s="14"/>
    </row>
    <row r="889" spans="1:32" customFormat="1" x14ac:dyDescent="0.25">
      <c r="A889" s="9"/>
      <c r="C889" s="14"/>
      <c r="E889" t="str">
        <f>IF(ISNA(VLOOKUP(C889,P:Q,2,0)),"",VLOOKUP(C889,P:Q,2,0))</f>
        <v/>
      </c>
      <c r="F889" s="15" t="str">
        <f>IF(ISNA(VLOOKUP(C889,P:R,3,0)),"",VLOOKUP(C889,P:R,3,0))</f>
        <v/>
      </c>
      <c r="G889">
        <f>ROUND(IF(D889&gt;0,0,ABS(D889)),2)</f>
        <v>0</v>
      </c>
      <c r="H889">
        <f>ROUND(IF(D889&gt;0,D889,),2)</f>
        <v>0</v>
      </c>
      <c r="K889" s="7"/>
      <c r="L889" s="9"/>
      <c r="M889" s="9"/>
      <c r="N889" s="7"/>
      <c r="P889" s="19"/>
      <c r="Q889" s="5"/>
      <c r="R889" s="5"/>
      <c r="AF889" s="14"/>
    </row>
    <row r="890" spans="1:32" customFormat="1" x14ac:dyDescent="0.25">
      <c r="A890" s="9"/>
      <c r="C890" s="14"/>
      <c r="E890" t="str">
        <f>IF(ISNA(VLOOKUP(C890,P:Q,2,0)),"",VLOOKUP(C890,P:Q,2,0))</f>
        <v/>
      </c>
      <c r="F890" s="15" t="str">
        <f>IF(ISNA(VLOOKUP(C890,P:R,3,0)),"",VLOOKUP(C890,P:R,3,0))</f>
        <v/>
      </c>
      <c r="G890">
        <f>ROUND(IF(D890&gt;0,0,ABS(D890)),2)</f>
        <v>0</v>
      </c>
      <c r="H890">
        <f>ROUND(IF(D890&gt;0,D890,),2)</f>
        <v>0</v>
      </c>
      <c r="K890" s="7"/>
      <c r="L890" s="9"/>
      <c r="M890" s="9"/>
      <c r="N890" s="7"/>
      <c r="P890" s="19"/>
      <c r="Q890" s="5"/>
      <c r="R890" s="5"/>
      <c r="AF890" s="14"/>
    </row>
    <row r="891" spans="1:32" customFormat="1" x14ac:dyDescent="0.25">
      <c r="A891" s="9"/>
      <c r="C891" s="14"/>
      <c r="E891" t="str">
        <f>IF(ISNA(VLOOKUP(C891,P:Q,2,0)),"",VLOOKUP(C891,P:Q,2,0))</f>
        <v/>
      </c>
      <c r="F891" s="15" t="str">
        <f>IF(ISNA(VLOOKUP(C891,P:R,3,0)),"",VLOOKUP(C891,P:R,3,0))</f>
        <v/>
      </c>
      <c r="G891">
        <f>ROUND(IF(D891&gt;0,0,ABS(D891)),2)</f>
        <v>0</v>
      </c>
      <c r="H891">
        <f>ROUND(IF(D891&gt;0,D891,),2)</f>
        <v>0</v>
      </c>
      <c r="K891" s="7"/>
      <c r="L891" s="9"/>
      <c r="M891" s="9"/>
      <c r="N891" s="7"/>
      <c r="P891" s="19"/>
      <c r="Q891" s="5"/>
      <c r="R891" s="5"/>
      <c r="AF891" s="14"/>
    </row>
    <row r="892" spans="1:32" customFormat="1" x14ac:dyDescent="0.25">
      <c r="A892" s="9"/>
      <c r="C892" s="14"/>
      <c r="E892" t="str">
        <f>IF(ISNA(VLOOKUP(C892,P:Q,2,0)),"",VLOOKUP(C892,P:Q,2,0))</f>
        <v/>
      </c>
      <c r="F892" s="15" t="str">
        <f>IF(ISNA(VLOOKUP(C892,P:R,3,0)),"",VLOOKUP(C892,P:R,3,0))</f>
        <v/>
      </c>
      <c r="G892">
        <f>ROUND(IF(D892&gt;0,0,ABS(D892)),2)</f>
        <v>0</v>
      </c>
      <c r="H892">
        <f>ROUND(IF(D892&gt;0,D892,),2)</f>
        <v>0</v>
      </c>
      <c r="K892" s="7"/>
      <c r="L892" s="9"/>
      <c r="M892" s="9"/>
      <c r="N892" s="7"/>
      <c r="P892" s="19"/>
      <c r="Q892" s="5"/>
      <c r="R892" s="5"/>
      <c r="AF892" s="14"/>
    </row>
    <row r="893" spans="1:32" customFormat="1" x14ac:dyDescent="0.25">
      <c r="A893" s="9"/>
      <c r="C893" s="14"/>
      <c r="E893" t="str">
        <f>IF(ISNA(VLOOKUP(C893,P:Q,2,0)),"",VLOOKUP(C893,P:Q,2,0))</f>
        <v/>
      </c>
      <c r="F893" s="15" t="str">
        <f>IF(ISNA(VLOOKUP(C893,P:R,3,0)),"",VLOOKUP(C893,P:R,3,0))</f>
        <v/>
      </c>
      <c r="G893">
        <f>ROUND(IF(D893&gt;0,0,ABS(D893)),2)</f>
        <v>0</v>
      </c>
      <c r="H893">
        <f>ROUND(IF(D893&gt;0,D893,),2)</f>
        <v>0</v>
      </c>
      <c r="K893" s="7"/>
      <c r="L893" s="9"/>
      <c r="M893" s="9"/>
      <c r="N893" s="7"/>
      <c r="P893" s="19"/>
      <c r="Q893" s="5"/>
      <c r="R893" s="5"/>
      <c r="AF893" s="14"/>
    </row>
    <row r="894" spans="1:32" customFormat="1" x14ac:dyDescent="0.25">
      <c r="A894" s="9"/>
      <c r="C894" s="14"/>
      <c r="E894" t="str">
        <f>IF(ISNA(VLOOKUP(C894,P:Q,2,0)),"",VLOOKUP(C894,P:Q,2,0))</f>
        <v/>
      </c>
      <c r="F894" s="15" t="str">
        <f>IF(ISNA(VLOOKUP(C894,P:R,3,0)),"",VLOOKUP(C894,P:R,3,0))</f>
        <v/>
      </c>
      <c r="G894">
        <f>ROUND(IF(D894&gt;0,0,ABS(D894)),2)</f>
        <v>0</v>
      </c>
      <c r="H894">
        <f>ROUND(IF(D894&gt;0,D894,),2)</f>
        <v>0</v>
      </c>
      <c r="K894" s="7"/>
      <c r="L894" s="9"/>
      <c r="M894" s="9"/>
      <c r="N894" s="7"/>
      <c r="P894" s="19"/>
      <c r="Q894" s="5"/>
      <c r="R894" s="5"/>
      <c r="AF894" s="14"/>
    </row>
    <row r="895" spans="1:32" customFormat="1" x14ac:dyDescent="0.25">
      <c r="A895" s="9"/>
      <c r="C895" s="14"/>
      <c r="E895" t="str">
        <f>IF(ISNA(VLOOKUP(C895,P:Q,2,0)),"",VLOOKUP(C895,P:Q,2,0))</f>
        <v/>
      </c>
      <c r="F895" s="15" t="str">
        <f>IF(ISNA(VLOOKUP(C895,P:R,3,0)),"",VLOOKUP(C895,P:R,3,0))</f>
        <v/>
      </c>
      <c r="G895">
        <f>ROUND(IF(D895&gt;0,0,ABS(D895)),2)</f>
        <v>0</v>
      </c>
      <c r="H895">
        <f>ROUND(IF(D895&gt;0,D895,),2)</f>
        <v>0</v>
      </c>
      <c r="K895" s="7"/>
      <c r="L895" s="9"/>
      <c r="M895" s="9"/>
      <c r="N895" s="7"/>
      <c r="P895" s="19"/>
      <c r="Q895" s="5"/>
      <c r="R895" s="5"/>
      <c r="AF895" s="14"/>
    </row>
    <row r="896" spans="1:32" customFormat="1" x14ac:dyDescent="0.25">
      <c r="A896" s="9"/>
      <c r="C896" s="14"/>
      <c r="E896" t="str">
        <f>IF(ISNA(VLOOKUP(C896,P:Q,2,0)),"",VLOOKUP(C896,P:Q,2,0))</f>
        <v/>
      </c>
      <c r="F896" s="15" t="str">
        <f>IF(ISNA(VLOOKUP(C896,P:R,3,0)),"",VLOOKUP(C896,P:R,3,0))</f>
        <v/>
      </c>
      <c r="G896">
        <f>ROUND(IF(D896&gt;0,0,ABS(D896)),2)</f>
        <v>0</v>
      </c>
      <c r="H896">
        <f>ROUND(IF(D896&gt;0,D896,),2)</f>
        <v>0</v>
      </c>
      <c r="K896" s="7"/>
      <c r="L896" s="9"/>
      <c r="M896" s="9"/>
      <c r="N896" s="7"/>
      <c r="P896" s="19"/>
      <c r="Q896" s="5"/>
      <c r="R896" s="5"/>
      <c r="AF896" s="14"/>
    </row>
    <row r="897" spans="1:32" customFormat="1" x14ac:dyDescent="0.25">
      <c r="A897" s="9"/>
      <c r="C897" s="14"/>
      <c r="E897" t="str">
        <f>IF(ISNA(VLOOKUP(C897,P:Q,2,0)),"",VLOOKUP(C897,P:Q,2,0))</f>
        <v/>
      </c>
      <c r="F897" s="15" t="str">
        <f>IF(ISNA(VLOOKUP(C897,P:R,3,0)),"",VLOOKUP(C897,P:R,3,0))</f>
        <v/>
      </c>
      <c r="G897">
        <f>ROUND(IF(D897&gt;0,0,ABS(D897)),2)</f>
        <v>0</v>
      </c>
      <c r="H897">
        <f>ROUND(IF(D897&gt;0,D897,),2)</f>
        <v>0</v>
      </c>
      <c r="K897" s="7"/>
      <c r="L897" s="9"/>
      <c r="M897" s="9"/>
      <c r="N897" s="7"/>
      <c r="P897" s="19"/>
      <c r="Q897" s="5"/>
      <c r="R897" s="5"/>
      <c r="AF897" s="14"/>
    </row>
    <row r="898" spans="1:32" customFormat="1" x14ac:dyDescent="0.25">
      <c r="A898" s="9"/>
      <c r="C898" s="14"/>
      <c r="E898" t="str">
        <f>IF(ISNA(VLOOKUP(C898,P:Q,2,0)),"",VLOOKUP(C898,P:Q,2,0))</f>
        <v/>
      </c>
      <c r="F898" s="15" t="str">
        <f>IF(ISNA(VLOOKUP(C898,P:R,3,0)),"",VLOOKUP(C898,P:R,3,0))</f>
        <v/>
      </c>
      <c r="G898">
        <f>ROUND(IF(D898&gt;0,0,ABS(D898)),2)</f>
        <v>0</v>
      </c>
      <c r="H898">
        <f>ROUND(IF(D898&gt;0,D898,),2)</f>
        <v>0</v>
      </c>
      <c r="K898" s="7"/>
      <c r="L898" s="9"/>
      <c r="M898" s="9"/>
      <c r="N898" s="7"/>
      <c r="P898" s="19"/>
      <c r="Q898" s="5"/>
      <c r="R898" s="5"/>
      <c r="AF898" s="14"/>
    </row>
    <row r="899" spans="1:32" customFormat="1" x14ac:dyDescent="0.25">
      <c r="A899" s="9"/>
      <c r="C899" s="14"/>
      <c r="E899" t="str">
        <f>IF(ISNA(VLOOKUP(C899,P:Q,2,0)),"",VLOOKUP(C899,P:Q,2,0))</f>
        <v/>
      </c>
      <c r="F899" s="15" t="str">
        <f>IF(ISNA(VLOOKUP(C899,P:R,3,0)),"",VLOOKUP(C899,P:R,3,0))</f>
        <v/>
      </c>
      <c r="G899">
        <f>ROUND(IF(D899&gt;0,0,ABS(D899)),2)</f>
        <v>0</v>
      </c>
      <c r="H899">
        <f>ROUND(IF(D899&gt;0,D899,),2)</f>
        <v>0</v>
      </c>
      <c r="K899" s="7"/>
      <c r="L899" s="9"/>
      <c r="M899" s="9"/>
      <c r="N899" s="7"/>
      <c r="P899" s="19"/>
      <c r="Q899" s="5"/>
      <c r="R899" s="5"/>
      <c r="AF899" s="14"/>
    </row>
    <row r="900" spans="1:32" customFormat="1" x14ac:dyDescent="0.25">
      <c r="A900" s="9"/>
      <c r="C900" s="14"/>
      <c r="E900" t="str">
        <f>IF(ISNA(VLOOKUP(C900,P:Q,2,0)),"",VLOOKUP(C900,P:Q,2,0))</f>
        <v/>
      </c>
      <c r="F900" s="15" t="str">
        <f>IF(ISNA(VLOOKUP(C900,P:R,3,0)),"",VLOOKUP(C900,P:R,3,0))</f>
        <v/>
      </c>
      <c r="G900">
        <f>ROUND(IF(D900&gt;0,0,ABS(D900)),2)</f>
        <v>0</v>
      </c>
      <c r="H900">
        <f>ROUND(IF(D900&gt;0,D900,),2)</f>
        <v>0</v>
      </c>
      <c r="K900" s="7"/>
      <c r="L900" s="9"/>
      <c r="M900" s="9"/>
      <c r="N900" s="7"/>
      <c r="P900" s="19"/>
      <c r="Q900" s="5"/>
      <c r="R900" s="5"/>
      <c r="AF900" s="14"/>
    </row>
    <row r="901" spans="1:32" customFormat="1" x14ac:dyDescent="0.25">
      <c r="A901" s="9"/>
      <c r="C901" s="14"/>
      <c r="E901" t="str">
        <f>IF(ISNA(VLOOKUP(C901,P:Q,2,0)),"",VLOOKUP(C901,P:Q,2,0))</f>
        <v/>
      </c>
      <c r="F901" s="15" t="str">
        <f>IF(ISNA(VLOOKUP(C901,P:R,3,0)),"",VLOOKUP(C901,P:R,3,0))</f>
        <v/>
      </c>
      <c r="G901">
        <f>ROUND(IF(D901&gt;0,0,ABS(D901)),2)</f>
        <v>0</v>
      </c>
      <c r="H901">
        <f>ROUND(IF(D901&gt;0,D901,),2)</f>
        <v>0</v>
      </c>
      <c r="K901" s="7"/>
      <c r="L901" s="9"/>
      <c r="M901" s="9"/>
      <c r="N901" s="7"/>
      <c r="P901" s="19"/>
      <c r="Q901" s="5"/>
      <c r="R901" s="5"/>
      <c r="AF901" s="14"/>
    </row>
    <row r="902" spans="1:32" customFormat="1" x14ac:dyDescent="0.25">
      <c r="A902" s="9"/>
      <c r="C902" s="14"/>
      <c r="E902" t="str">
        <f>IF(ISNA(VLOOKUP(C902,P:Q,2,0)),"",VLOOKUP(C902,P:Q,2,0))</f>
        <v/>
      </c>
      <c r="F902" s="15" t="str">
        <f>IF(ISNA(VLOOKUP(C902,P:R,3,0)),"",VLOOKUP(C902,P:R,3,0))</f>
        <v/>
      </c>
      <c r="G902">
        <f>ROUND(IF(D902&gt;0,0,ABS(D902)),2)</f>
        <v>0</v>
      </c>
      <c r="H902">
        <f>ROUND(IF(D902&gt;0,D902,),2)</f>
        <v>0</v>
      </c>
      <c r="K902" s="7"/>
      <c r="L902" s="9"/>
      <c r="M902" s="9"/>
      <c r="N902" s="7"/>
      <c r="P902" s="19"/>
      <c r="Q902" s="5"/>
      <c r="R902" s="5"/>
      <c r="AF902" s="14"/>
    </row>
    <row r="903" spans="1:32" customFormat="1" x14ac:dyDescent="0.25">
      <c r="A903" s="9"/>
      <c r="C903" s="14"/>
      <c r="E903" t="str">
        <f>IF(ISNA(VLOOKUP(C903,P:Q,2,0)),"",VLOOKUP(C903,P:Q,2,0))</f>
        <v/>
      </c>
      <c r="F903" s="15" t="str">
        <f>IF(ISNA(VLOOKUP(C903,P:R,3,0)),"",VLOOKUP(C903,P:R,3,0))</f>
        <v/>
      </c>
      <c r="G903">
        <f>ROUND(IF(D903&gt;0,0,ABS(D903)),2)</f>
        <v>0</v>
      </c>
      <c r="H903">
        <f>ROUND(IF(D903&gt;0,D903,),2)</f>
        <v>0</v>
      </c>
      <c r="K903" s="7"/>
      <c r="L903" s="9"/>
      <c r="M903" s="9"/>
      <c r="N903" s="7"/>
      <c r="P903" s="19"/>
      <c r="Q903" s="5"/>
      <c r="R903" s="5"/>
      <c r="AF903" s="14"/>
    </row>
    <row r="904" spans="1:32" customFormat="1" x14ac:dyDescent="0.25">
      <c r="A904" s="9"/>
      <c r="C904" s="14"/>
      <c r="E904" t="str">
        <f>IF(ISNA(VLOOKUP(C904,P:Q,2,0)),"",VLOOKUP(C904,P:Q,2,0))</f>
        <v/>
      </c>
      <c r="F904" s="15" t="str">
        <f>IF(ISNA(VLOOKUP(C904,P:R,3,0)),"",VLOOKUP(C904,P:R,3,0))</f>
        <v/>
      </c>
      <c r="G904">
        <f>ROUND(IF(D904&gt;0,0,ABS(D904)),2)</f>
        <v>0</v>
      </c>
      <c r="H904">
        <f>ROUND(IF(D904&gt;0,D904,),2)</f>
        <v>0</v>
      </c>
      <c r="K904" s="7"/>
      <c r="L904" s="9"/>
      <c r="M904" s="9"/>
      <c r="N904" s="7"/>
      <c r="P904" s="19"/>
      <c r="Q904" s="5"/>
      <c r="R904" s="5"/>
      <c r="AF904" s="14"/>
    </row>
    <row r="905" spans="1:32" customFormat="1" x14ac:dyDescent="0.25">
      <c r="A905" s="9"/>
      <c r="C905" s="14"/>
      <c r="E905" t="str">
        <f>IF(ISNA(VLOOKUP(C905,P:Q,2,0)),"",VLOOKUP(C905,P:Q,2,0))</f>
        <v/>
      </c>
      <c r="F905" s="15" t="str">
        <f>IF(ISNA(VLOOKUP(C905,P:R,3,0)),"",VLOOKUP(C905,P:R,3,0))</f>
        <v/>
      </c>
      <c r="G905">
        <f>ROUND(IF(D905&gt;0,0,ABS(D905)),2)</f>
        <v>0</v>
      </c>
      <c r="H905">
        <f>ROUND(IF(D905&gt;0,D905,),2)</f>
        <v>0</v>
      </c>
      <c r="K905" s="7"/>
      <c r="L905" s="9"/>
      <c r="M905" s="9"/>
      <c r="N905" s="7"/>
      <c r="P905" s="19"/>
      <c r="Q905" s="5"/>
      <c r="R905" s="5"/>
      <c r="AF905" s="14"/>
    </row>
    <row r="906" spans="1:32" customFormat="1" x14ac:dyDescent="0.25">
      <c r="A906" s="9"/>
      <c r="C906" s="14"/>
      <c r="E906" t="str">
        <f>IF(ISNA(VLOOKUP(C906,P:Q,2,0)),"",VLOOKUP(C906,P:Q,2,0))</f>
        <v/>
      </c>
      <c r="F906" s="15" t="str">
        <f>IF(ISNA(VLOOKUP(C906,P:R,3,0)),"",VLOOKUP(C906,P:R,3,0))</f>
        <v/>
      </c>
      <c r="G906">
        <f>ROUND(IF(D906&gt;0,0,ABS(D906)),2)</f>
        <v>0</v>
      </c>
      <c r="H906">
        <f>ROUND(IF(D906&gt;0,D906,),2)</f>
        <v>0</v>
      </c>
      <c r="K906" s="7"/>
      <c r="L906" s="9"/>
      <c r="M906" s="9"/>
      <c r="N906" s="7"/>
      <c r="P906" s="19"/>
      <c r="Q906" s="5"/>
      <c r="R906" s="5"/>
      <c r="AF906" s="14"/>
    </row>
    <row r="907" spans="1:32" customFormat="1" x14ac:dyDescent="0.25">
      <c r="A907" s="9"/>
      <c r="C907" s="14"/>
      <c r="E907" t="str">
        <f>IF(ISNA(VLOOKUP(C907,P:Q,2,0)),"",VLOOKUP(C907,P:Q,2,0))</f>
        <v/>
      </c>
      <c r="F907" s="15" t="str">
        <f>IF(ISNA(VLOOKUP(C907,P:R,3,0)),"",VLOOKUP(C907,P:R,3,0))</f>
        <v/>
      </c>
      <c r="G907">
        <f>ROUND(IF(D907&gt;0,0,ABS(D907)),2)</f>
        <v>0</v>
      </c>
      <c r="H907">
        <f>ROUND(IF(D907&gt;0,D907,),2)</f>
        <v>0</v>
      </c>
      <c r="K907" s="7"/>
      <c r="L907" s="9"/>
      <c r="M907" s="9"/>
      <c r="N907" s="7"/>
      <c r="P907" s="19"/>
      <c r="Q907" s="5"/>
      <c r="R907" s="5"/>
      <c r="AF907" s="14"/>
    </row>
    <row r="908" spans="1:32" customFormat="1" x14ac:dyDescent="0.25">
      <c r="A908" s="9"/>
      <c r="C908" s="14"/>
      <c r="E908" t="str">
        <f>IF(ISNA(VLOOKUP(C908,P:Q,2,0)),"",VLOOKUP(C908,P:Q,2,0))</f>
        <v/>
      </c>
      <c r="F908" s="15" t="str">
        <f>IF(ISNA(VLOOKUP(C908,P:R,3,0)),"",VLOOKUP(C908,P:R,3,0))</f>
        <v/>
      </c>
      <c r="G908">
        <f>ROUND(IF(D908&gt;0,0,ABS(D908)),2)</f>
        <v>0</v>
      </c>
      <c r="H908">
        <f>ROUND(IF(D908&gt;0,D908,),2)</f>
        <v>0</v>
      </c>
      <c r="K908" s="7"/>
      <c r="L908" s="9"/>
      <c r="M908" s="9"/>
      <c r="N908" s="7"/>
      <c r="P908" s="19"/>
      <c r="Q908" s="5"/>
      <c r="R908" s="5"/>
      <c r="AF908" s="14"/>
    </row>
    <row r="909" spans="1:32" customFormat="1" x14ac:dyDescent="0.25">
      <c r="A909" s="9"/>
      <c r="C909" s="14"/>
      <c r="E909" t="str">
        <f>IF(ISNA(VLOOKUP(C909,P:Q,2,0)),"",VLOOKUP(C909,P:Q,2,0))</f>
        <v/>
      </c>
      <c r="F909" s="15" t="str">
        <f>IF(ISNA(VLOOKUP(C909,P:R,3,0)),"",VLOOKUP(C909,P:R,3,0))</f>
        <v/>
      </c>
      <c r="G909">
        <f>ROUND(IF(D909&gt;0,0,ABS(D909)),2)</f>
        <v>0</v>
      </c>
      <c r="H909">
        <f>ROUND(IF(D909&gt;0,D909,),2)</f>
        <v>0</v>
      </c>
      <c r="K909" s="7"/>
      <c r="L909" s="9"/>
      <c r="M909" s="9"/>
      <c r="N909" s="7"/>
      <c r="P909" s="19"/>
      <c r="Q909" s="5"/>
      <c r="R909" s="5"/>
      <c r="AF909" s="14"/>
    </row>
    <row r="910" spans="1:32" customFormat="1" x14ac:dyDescent="0.25">
      <c r="A910" s="9"/>
      <c r="C910" s="14"/>
      <c r="E910" t="str">
        <f>IF(ISNA(VLOOKUP(C910,P:Q,2,0)),"",VLOOKUP(C910,P:Q,2,0))</f>
        <v/>
      </c>
      <c r="F910" s="15" t="str">
        <f>IF(ISNA(VLOOKUP(C910,P:R,3,0)),"",VLOOKUP(C910,P:R,3,0))</f>
        <v/>
      </c>
      <c r="G910">
        <f>ROUND(IF(D910&gt;0,0,ABS(D910)),2)</f>
        <v>0</v>
      </c>
      <c r="H910">
        <f>ROUND(IF(D910&gt;0,D910,),2)</f>
        <v>0</v>
      </c>
      <c r="K910" s="7"/>
      <c r="L910" s="9"/>
      <c r="M910" s="9"/>
      <c r="N910" s="7"/>
      <c r="P910" s="19"/>
      <c r="Q910" s="5"/>
      <c r="R910" s="5"/>
      <c r="AF910" s="14"/>
    </row>
    <row r="911" spans="1:32" customFormat="1" x14ac:dyDescent="0.25">
      <c r="A911" s="9"/>
      <c r="C911" s="14"/>
      <c r="E911" t="str">
        <f>IF(ISNA(VLOOKUP(C911,P:Q,2,0)),"",VLOOKUP(C911,P:Q,2,0))</f>
        <v/>
      </c>
      <c r="F911" s="15" t="str">
        <f>IF(ISNA(VLOOKUP(C911,P:R,3,0)),"",VLOOKUP(C911,P:R,3,0))</f>
        <v/>
      </c>
      <c r="G911">
        <f>ROUND(IF(D911&gt;0,0,ABS(D911)),2)</f>
        <v>0</v>
      </c>
      <c r="H911">
        <f>ROUND(IF(D911&gt;0,D911,),2)</f>
        <v>0</v>
      </c>
      <c r="K911" s="7"/>
      <c r="L911" s="9"/>
      <c r="M911" s="9"/>
      <c r="N911" s="7"/>
      <c r="P911" s="19"/>
      <c r="Q911" s="5"/>
      <c r="R911" s="5"/>
      <c r="AF911" s="14"/>
    </row>
    <row r="912" spans="1:32" customFormat="1" x14ac:dyDescent="0.25">
      <c r="A912" s="9"/>
      <c r="C912" s="14"/>
      <c r="E912" t="str">
        <f>IF(ISNA(VLOOKUP(C912,P:Q,2,0)),"",VLOOKUP(C912,P:Q,2,0))</f>
        <v/>
      </c>
      <c r="F912" s="15" t="str">
        <f>IF(ISNA(VLOOKUP(C912,P:R,3,0)),"",VLOOKUP(C912,P:R,3,0))</f>
        <v/>
      </c>
      <c r="G912">
        <f>ROUND(IF(D912&gt;0,0,ABS(D912)),2)</f>
        <v>0</v>
      </c>
      <c r="H912">
        <f>ROUND(IF(D912&gt;0,D912,),2)</f>
        <v>0</v>
      </c>
      <c r="K912" s="7"/>
      <c r="L912" s="9"/>
      <c r="M912" s="9"/>
      <c r="N912" s="7"/>
      <c r="P912" s="19"/>
      <c r="Q912" s="5"/>
      <c r="R912" s="5"/>
      <c r="AF912" s="14"/>
    </row>
    <row r="913" spans="1:32" customFormat="1" x14ac:dyDescent="0.25">
      <c r="A913" s="9"/>
      <c r="C913" s="14"/>
      <c r="E913" t="str">
        <f>IF(ISNA(VLOOKUP(C913,P:Q,2,0)),"",VLOOKUP(C913,P:Q,2,0))</f>
        <v/>
      </c>
      <c r="F913" s="15" t="str">
        <f>IF(ISNA(VLOOKUP(C913,P:R,3,0)),"",VLOOKUP(C913,P:R,3,0))</f>
        <v/>
      </c>
      <c r="G913">
        <f>ROUND(IF(D913&gt;0,0,ABS(D913)),2)</f>
        <v>0</v>
      </c>
      <c r="H913">
        <f>ROUND(IF(D913&gt;0,D913,),2)</f>
        <v>0</v>
      </c>
      <c r="K913" s="7"/>
      <c r="L913" s="9"/>
      <c r="M913" s="9"/>
      <c r="N913" s="7"/>
      <c r="P913" s="19"/>
      <c r="Q913" s="5"/>
      <c r="R913" s="5"/>
      <c r="AF913" s="14"/>
    </row>
    <row r="914" spans="1:32" customFormat="1" x14ac:dyDescent="0.25">
      <c r="A914" s="9"/>
      <c r="C914" s="14"/>
      <c r="E914" t="str">
        <f>IF(ISNA(VLOOKUP(C914,P:Q,2,0)),"",VLOOKUP(C914,P:Q,2,0))</f>
        <v/>
      </c>
      <c r="F914" s="15" t="str">
        <f>IF(ISNA(VLOOKUP(C914,P:R,3,0)),"",VLOOKUP(C914,P:R,3,0))</f>
        <v/>
      </c>
      <c r="G914">
        <f>ROUND(IF(D914&gt;0,0,ABS(D914)),2)</f>
        <v>0</v>
      </c>
      <c r="H914">
        <f>ROUND(IF(D914&gt;0,D914,),2)</f>
        <v>0</v>
      </c>
      <c r="K914" s="7"/>
      <c r="L914" s="9"/>
      <c r="M914" s="9"/>
      <c r="N914" s="7"/>
      <c r="P914" s="19"/>
      <c r="Q914" s="5"/>
      <c r="R914" s="5"/>
      <c r="AF914" s="14"/>
    </row>
    <row r="915" spans="1:32" customFormat="1" x14ac:dyDescent="0.25">
      <c r="A915" s="9"/>
      <c r="C915" s="14"/>
      <c r="E915" t="str">
        <f>IF(ISNA(VLOOKUP(C915,P:Q,2,0)),"",VLOOKUP(C915,P:Q,2,0))</f>
        <v/>
      </c>
      <c r="F915" s="15" t="str">
        <f>IF(ISNA(VLOOKUP(C915,P:R,3,0)),"",VLOOKUP(C915,P:R,3,0))</f>
        <v/>
      </c>
      <c r="G915">
        <f>ROUND(IF(D915&gt;0,0,ABS(D915)),2)</f>
        <v>0</v>
      </c>
      <c r="H915">
        <f>ROUND(IF(D915&gt;0,D915,),2)</f>
        <v>0</v>
      </c>
      <c r="K915" s="7"/>
      <c r="L915" s="9"/>
      <c r="M915" s="9"/>
      <c r="N915" s="7"/>
      <c r="P915" s="19"/>
      <c r="Q915" s="5"/>
      <c r="R915" s="5"/>
      <c r="AF915" s="14"/>
    </row>
    <row r="916" spans="1:32" customFormat="1" x14ac:dyDescent="0.25">
      <c r="A916" s="9"/>
      <c r="C916" s="14"/>
      <c r="E916" t="str">
        <f>IF(ISNA(VLOOKUP(C916,P:Q,2,0)),"",VLOOKUP(C916,P:Q,2,0))</f>
        <v/>
      </c>
      <c r="F916" s="15" t="str">
        <f>IF(ISNA(VLOOKUP(C916,P:R,3,0)),"",VLOOKUP(C916,P:R,3,0))</f>
        <v/>
      </c>
      <c r="G916">
        <f>ROUND(IF(D916&gt;0,0,ABS(D916)),2)</f>
        <v>0</v>
      </c>
      <c r="H916">
        <f>ROUND(IF(D916&gt;0,D916,),2)</f>
        <v>0</v>
      </c>
      <c r="K916" s="7"/>
      <c r="L916" s="9"/>
      <c r="M916" s="9"/>
      <c r="N916" s="7"/>
      <c r="P916" s="19"/>
      <c r="Q916" s="5"/>
      <c r="R916" s="5"/>
      <c r="AF916" s="14"/>
    </row>
    <row r="917" spans="1:32" customFormat="1" x14ac:dyDescent="0.25">
      <c r="A917" s="9"/>
      <c r="C917" s="14"/>
      <c r="E917" t="str">
        <f>IF(ISNA(VLOOKUP(C917,P:Q,2,0)),"",VLOOKUP(C917,P:Q,2,0))</f>
        <v/>
      </c>
      <c r="F917" s="15" t="str">
        <f>IF(ISNA(VLOOKUP(C917,P:R,3,0)),"",VLOOKUP(C917,P:R,3,0))</f>
        <v/>
      </c>
      <c r="G917">
        <f>ROUND(IF(D917&gt;0,0,ABS(D917)),2)</f>
        <v>0</v>
      </c>
      <c r="H917">
        <f>ROUND(IF(D917&gt;0,D917,),2)</f>
        <v>0</v>
      </c>
      <c r="K917" s="7"/>
      <c r="L917" s="9"/>
      <c r="M917" s="9"/>
      <c r="N917" s="7"/>
      <c r="P917" s="19"/>
      <c r="Q917" s="5"/>
      <c r="R917" s="5"/>
      <c r="AF917" s="14"/>
    </row>
    <row r="918" spans="1:32" customFormat="1" x14ac:dyDescent="0.25">
      <c r="A918" s="9"/>
      <c r="C918" s="14"/>
      <c r="E918" t="str">
        <f>IF(ISNA(VLOOKUP(C918,P:Q,2,0)),"",VLOOKUP(C918,P:Q,2,0))</f>
        <v/>
      </c>
      <c r="F918" s="15" t="str">
        <f>IF(ISNA(VLOOKUP(C918,P:R,3,0)),"",VLOOKUP(C918,P:R,3,0))</f>
        <v/>
      </c>
      <c r="G918">
        <f>ROUND(IF(D918&gt;0,0,ABS(D918)),2)</f>
        <v>0</v>
      </c>
      <c r="H918">
        <f>ROUND(IF(D918&gt;0,D918,),2)</f>
        <v>0</v>
      </c>
      <c r="K918" s="7"/>
      <c r="L918" s="9"/>
      <c r="M918" s="9"/>
      <c r="N918" s="7"/>
      <c r="P918" s="19"/>
      <c r="Q918" s="5"/>
      <c r="R918" s="5"/>
      <c r="AF918" s="14"/>
    </row>
    <row r="919" spans="1:32" customFormat="1" x14ac:dyDescent="0.25">
      <c r="A919" s="9"/>
      <c r="C919" s="14"/>
      <c r="E919" t="str">
        <f>IF(ISNA(VLOOKUP(C919,P:Q,2,0)),"",VLOOKUP(C919,P:Q,2,0))</f>
        <v/>
      </c>
      <c r="F919" s="15" t="str">
        <f>IF(ISNA(VLOOKUP(C919,P:R,3,0)),"",VLOOKUP(C919,P:R,3,0))</f>
        <v/>
      </c>
      <c r="G919">
        <f>ROUND(IF(D919&gt;0,0,ABS(D919)),2)</f>
        <v>0</v>
      </c>
      <c r="H919">
        <f>ROUND(IF(D919&gt;0,D919,),2)</f>
        <v>0</v>
      </c>
      <c r="K919" s="7"/>
      <c r="L919" s="9"/>
      <c r="M919" s="9"/>
      <c r="N919" s="7"/>
      <c r="P919" s="19"/>
      <c r="Q919" s="5"/>
      <c r="R919" s="5"/>
      <c r="AF919" s="14"/>
    </row>
    <row r="920" spans="1:32" customFormat="1" x14ac:dyDescent="0.25">
      <c r="A920" s="9"/>
      <c r="C920" s="14"/>
      <c r="E920" t="str">
        <f>IF(ISNA(VLOOKUP(C920,P:Q,2,0)),"",VLOOKUP(C920,P:Q,2,0))</f>
        <v/>
      </c>
      <c r="F920" s="15" t="str">
        <f>IF(ISNA(VLOOKUP(C920,P:R,3,0)),"",VLOOKUP(C920,P:R,3,0))</f>
        <v/>
      </c>
      <c r="G920">
        <f>ROUND(IF(D920&gt;0,0,ABS(D920)),2)</f>
        <v>0</v>
      </c>
      <c r="H920">
        <f>ROUND(IF(D920&gt;0,D920,),2)</f>
        <v>0</v>
      </c>
      <c r="K920" s="7"/>
      <c r="L920" s="9"/>
      <c r="M920" s="9"/>
      <c r="N920" s="7"/>
      <c r="P920" s="19"/>
      <c r="Q920" s="5"/>
      <c r="R920" s="5"/>
      <c r="AF920" s="14"/>
    </row>
    <row r="921" spans="1:32" customFormat="1" x14ac:dyDescent="0.25">
      <c r="A921" s="9"/>
      <c r="C921" s="14"/>
      <c r="E921" t="str">
        <f>IF(ISNA(VLOOKUP(C921,P:Q,2,0)),"",VLOOKUP(C921,P:Q,2,0))</f>
        <v/>
      </c>
      <c r="F921" s="15" t="str">
        <f>IF(ISNA(VLOOKUP(C921,P:R,3,0)),"",VLOOKUP(C921,P:R,3,0))</f>
        <v/>
      </c>
      <c r="G921">
        <f>ROUND(IF(D921&gt;0,0,ABS(D921)),2)</f>
        <v>0</v>
      </c>
      <c r="H921">
        <f>ROUND(IF(D921&gt;0,D921,),2)</f>
        <v>0</v>
      </c>
      <c r="K921" s="7"/>
      <c r="L921" s="9"/>
      <c r="M921" s="9"/>
      <c r="N921" s="7"/>
      <c r="P921" s="19"/>
      <c r="Q921" s="5"/>
      <c r="R921" s="5"/>
      <c r="AF921" s="14"/>
    </row>
    <row r="922" spans="1:32" customFormat="1" x14ac:dyDescent="0.25">
      <c r="A922" s="9"/>
      <c r="C922" s="14"/>
      <c r="E922" t="str">
        <f>IF(ISNA(VLOOKUP(C922,P:Q,2,0)),"",VLOOKUP(C922,P:Q,2,0))</f>
        <v/>
      </c>
      <c r="F922" s="15" t="str">
        <f>IF(ISNA(VLOOKUP(C922,P:R,3,0)),"",VLOOKUP(C922,P:R,3,0))</f>
        <v/>
      </c>
      <c r="G922">
        <f>ROUND(IF(D922&gt;0,0,ABS(D922)),2)</f>
        <v>0</v>
      </c>
      <c r="H922">
        <f>ROUND(IF(D922&gt;0,D922,),2)</f>
        <v>0</v>
      </c>
      <c r="K922" s="7"/>
      <c r="L922" s="9"/>
      <c r="M922" s="9"/>
      <c r="N922" s="7"/>
      <c r="P922" s="19"/>
      <c r="Q922" s="5"/>
      <c r="R922" s="5"/>
      <c r="AF922" s="14"/>
    </row>
    <row r="923" spans="1:32" customFormat="1" x14ac:dyDescent="0.25">
      <c r="A923" s="9"/>
      <c r="C923" s="14"/>
      <c r="E923" t="str">
        <f>IF(ISNA(VLOOKUP(C923,P:Q,2,0)),"",VLOOKUP(C923,P:Q,2,0))</f>
        <v/>
      </c>
      <c r="F923" s="15" t="str">
        <f>IF(ISNA(VLOOKUP(C923,P:R,3,0)),"",VLOOKUP(C923,P:R,3,0))</f>
        <v/>
      </c>
      <c r="G923">
        <f>ROUND(IF(D923&gt;0,0,ABS(D923)),2)</f>
        <v>0</v>
      </c>
      <c r="H923">
        <f>ROUND(IF(D923&gt;0,D923,),2)</f>
        <v>0</v>
      </c>
      <c r="K923" s="7"/>
      <c r="L923" s="9"/>
      <c r="M923" s="9"/>
      <c r="N923" s="7"/>
      <c r="P923" s="19"/>
      <c r="Q923" s="5"/>
      <c r="R923" s="5"/>
      <c r="AF923" s="14"/>
    </row>
    <row r="924" spans="1:32" customFormat="1" x14ac:dyDescent="0.25">
      <c r="A924" s="9"/>
      <c r="C924" s="14"/>
      <c r="E924" t="str">
        <f>IF(ISNA(VLOOKUP(C924,P:Q,2,0)),"",VLOOKUP(C924,P:Q,2,0))</f>
        <v/>
      </c>
      <c r="F924" s="15" t="str">
        <f>IF(ISNA(VLOOKUP(C924,P:R,3,0)),"",VLOOKUP(C924,P:R,3,0))</f>
        <v/>
      </c>
      <c r="G924">
        <f>ROUND(IF(D924&gt;0,0,ABS(D924)),2)</f>
        <v>0</v>
      </c>
      <c r="H924">
        <f>ROUND(IF(D924&gt;0,D924,),2)</f>
        <v>0</v>
      </c>
      <c r="K924" s="7"/>
      <c r="L924" s="9"/>
      <c r="M924" s="9"/>
      <c r="N924" s="7"/>
      <c r="P924" s="19"/>
      <c r="Q924" s="5"/>
      <c r="R924" s="5"/>
      <c r="AF924" s="14"/>
    </row>
    <row r="925" spans="1:32" customFormat="1" x14ac:dyDescent="0.25">
      <c r="A925" s="9"/>
      <c r="C925" s="14"/>
      <c r="E925" t="str">
        <f>IF(ISNA(VLOOKUP(C925,P:Q,2,0)),"",VLOOKUP(C925,P:Q,2,0))</f>
        <v/>
      </c>
      <c r="F925" s="15" t="str">
        <f>IF(ISNA(VLOOKUP(C925,P:R,3,0)),"",VLOOKUP(C925,P:R,3,0))</f>
        <v/>
      </c>
      <c r="G925">
        <f>ROUND(IF(D925&gt;0,0,ABS(D925)),2)</f>
        <v>0</v>
      </c>
      <c r="H925">
        <f>ROUND(IF(D925&gt;0,D925,),2)</f>
        <v>0</v>
      </c>
      <c r="K925" s="7"/>
      <c r="L925" s="9"/>
      <c r="M925" s="9"/>
      <c r="N925" s="7"/>
      <c r="P925" s="19"/>
      <c r="Q925" s="5"/>
      <c r="R925" s="5"/>
      <c r="AF925" s="14"/>
    </row>
    <row r="926" spans="1:32" customFormat="1" x14ac:dyDescent="0.25">
      <c r="A926" s="9"/>
      <c r="C926" s="14"/>
      <c r="E926" t="str">
        <f>IF(ISNA(VLOOKUP(C926,P:Q,2,0)),"",VLOOKUP(C926,P:Q,2,0))</f>
        <v/>
      </c>
      <c r="F926" s="15" t="str">
        <f>IF(ISNA(VLOOKUP(C926,P:R,3,0)),"",VLOOKUP(C926,P:R,3,0))</f>
        <v/>
      </c>
      <c r="G926">
        <f>ROUND(IF(D926&gt;0,0,ABS(D926)),2)</f>
        <v>0</v>
      </c>
      <c r="H926">
        <f>ROUND(IF(D926&gt;0,D926,),2)</f>
        <v>0</v>
      </c>
      <c r="K926" s="7"/>
      <c r="L926" s="9"/>
      <c r="M926" s="9"/>
      <c r="N926" s="7"/>
      <c r="P926" s="19"/>
      <c r="Q926" s="5"/>
      <c r="R926" s="5"/>
      <c r="AF926" s="14"/>
    </row>
    <row r="927" spans="1:32" customFormat="1" x14ac:dyDescent="0.25">
      <c r="A927" s="9"/>
      <c r="C927" s="14"/>
      <c r="E927" t="str">
        <f>IF(ISNA(VLOOKUP(C927,P:Q,2,0)),"",VLOOKUP(C927,P:Q,2,0))</f>
        <v/>
      </c>
      <c r="F927" s="15" t="str">
        <f>IF(ISNA(VLOOKUP(C927,P:R,3,0)),"",VLOOKUP(C927,P:R,3,0))</f>
        <v/>
      </c>
      <c r="G927">
        <f>ROUND(IF(D927&gt;0,0,ABS(D927)),2)</f>
        <v>0</v>
      </c>
      <c r="H927">
        <f>ROUND(IF(D927&gt;0,D927,),2)</f>
        <v>0</v>
      </c>
      <c r="K927" s="7"/>
      <c r="L927" s="9"/>
      <c r="M927" s="9"/>
      <c r="N927" s="7"/>
      <c r="P927" s="19"/>
      <c r="Q927" s="5"/>
      <c r="R927" s="5"/>
      <c r="AF927" s="14"/>
    </row>
    <row r="928" spans="1:32" customFormat="1" x14ac:dyDescent="0.25">
      <c r="A928" s="9"/>
      <c r="C928" s="14"/>
      <c r="E928" t="str">
        <f>IF(ISNA(VLOOKUP(C928,P:Q,2,0)),"",VLOOKUP(C928,P:Q,2,0))</f>
        <v/>
      </c>
      <c r="F928" s="15" t="str">
        <f>IF(ISNA(VLOOKUP(C928,P:R,3,0)),"",VLOOKUP(C928,P:R,3,0))</f>
        <v/>
      </c>
      <c r="G928">
        <f>ROUND(IF(D928&gt;0,0,ABS(D928)),2)</f>
        <v>0</v>
      </c>
      <c r="H928">
        <f>ROUND(IF(D928&gt;0,D928,),2)</f>
        <v>0</v>
      </c>
      <c r="K928" s="7"/>
      <c r="L928" s="9"/>
      <c r="M928" s="9"/>
      <c r="N928" s="7"/>
      <c r="P928" s="19"/>
      <c r="Q928" s="5"/>
      <c r="R928" s="5"/>
      <c r="AF928" s="14"/>
    </row>
    <row r="929" spans="1:32" customFormat="1" x14ac:dyDescent="0.25">
      <c r="A929" s="9"/>
      <c r="C929" s="14"/>
      <c r="E929" t="str">
        <f>IF(ISNA(VLOOKUP(C929,P:Q,2,0)),"",VLOOKUP(C929,P:Q,2,0))</f>
        <v/>
      </c>
      <c r="F929" s="15" t="str">
        <f>IF(ISNA(VLOOKUP(C929,P:R,3,0)),"",VLOOKUP(C929,P:R,3,0))</f>
        <v/>
      </c>
      <c r="G929">
        <f>ROUND(IF(D929&gt;0,0,ABS(D929)),2)</f>
        <v>0</v>
      </c>
      <c r="H929">
        <f>ROUND(IF(D929&gt;0,D929,),2)</f>
        <v>0</v>
      </c>
      <c r="K929" s="7"/>
      <c r="L929" s="9"/>
      <c r="M929" s="9"/>
      <c r="N929" s="7"/>
      <c r="P929" s="19"/>
      <c r="Q929" s="5"/>
      <c r="R929" s="5"/>
      <c r="AF929" s="14"/>
    </row>
    <row r="930" spans="1:32" customFormat="1" x14ac:dyDescent="0.25">
      <c r="A930" s="9"/>
      <c r="C930" s="14"/>
      <c r="E930" t="str">
        <f>IF(ISNA(VLOOKUP(C930,P:Q,2,0)),"",VLOOKUP(C930,P:Q,2,0))</f>
        <v/>
      </c>
      <c r="F930" s="15" t="str">
        <f>IF(ISNA(VLOOKUP(C930,P:R,3,0)),"",VLOOKUP(C930,P:R,3,0))</f>
        <v/>
      </c>
      <c r="G930">
        <f>ROUND(IF(D930&gt;0,0,ABS(D930)),2)</f>
        <v>0</v>
      </c>
      <c r="H930">
        <f>ROUND(IF(D930&gt;0,D930,),2)</f>
        <v>0</v>
      </c>
      <c r="K930" s="7"/>
      <c r="L930" s="9"/>
      <c r="M930" s="9"/>
      <c r="N930" s="7"/>
      <c r="P930" s="19"/>
      <c r="Q930" s="5"/>
      <c r="R930" s="5"/>
      <c r="AF930" s="14"/>
    </row>
    <row r="931" spans="1:32" customFormat="1" x14ac:dyDescent="0.25">
      <c r="A931" s="9"/>
      <c r="C931" s="14"/>
      <c r="E931" t="str">
        <f>IF(ISNA(VLOOKUP(C931,P:Q,2,0)),"",VLOOKUP(C931,P:Q,2,0))</f>
        <v/>
      </c>
      <c r="F931" s="15" t="str">
        <f>IF(ISNA(VLOOKUP(C931,P:R,3,0)),"",VLOOKUP(C931,P:R,3,0))</f>
        <v/>
      </c>
      <c r="G931">
        <f>ROUND(IF(D931&gt;0,0,ABS(D931)),2)</f>
        <v>0</v>
      </c>
      <c r="H931">
        <f>ROUND(IF(D931&gt;0,D931,),2)</f>
        <v>0</v>
      </c>
      <c r="K931" s="7"/>
      <c r="L931" s="9"/>
      <c r="M931" s="9"/>
      <c r="N931" s="7"/>
      <c r="P931" s="19"/>
      <c r="Q931" s="5"/>
      <c r="R931" s="5"/>
      <c r="AF931" s="14"/>
    </row>
    <row r="932" spans="1:32" customFormat="1" x14ac:dyDescent="0.25">
      <c r="A932" s="9"/>
      <c r="C932" s="14"/>
      <c r="E932" t="str">
        <f>IF(ISNA(VLOOKUP(C932,P:Q,2,0)),"",VLOOKUP(C932,P:Q,2,0))</f>
        <v/>
      </c>
      <c r="F932" s="15" t="str">
        <f>IF(ISNA(VLOOKUP(C932,P:R,3,0)),"",VLOOKUP(C932,P:R,3,0))</f>
        <v/>
      </c>
      <c r="G932">
        <f>ROUND(IF(D932&gt;0,0,ABS(D932)),2)</f>
        <v>0</v>
      </c>
      <c r="H932">
        <f>ROUND(IF(D932&gt;0,D932,),2)</f>
        <v>0</v>
      </c>
      <c r="K932" s="7"/>
      <c r="L932" s="9"/>
      <c r="M932" s="9"/>
      <c r="N932" s="7"/>
      <c r="P932" s="19"/>
      <c r="Q932" s="5"/>
      <c r="R932" s="5"/>
      <c r="AF932" s="14"/>
    </row>
    <row r="933" spans="1:32" customFormat="1" x14ac:dyDescent="0.25">
      <c r="A933" s="9"/>
      <c r="C933" s="14"/>
      <c r="E933" t="str">
        <f>IF(ISNA(VLOOKUP(C933,P:Q,2,0)),"",VLOOKUP(C933,P:Q,2,0))</f>
        <v/>
      </c>
      <c r="F933" s="15" t="str">
        <f>IF(ISNA(VLOOKUP(C933,P:R,3,0)),"",VLOOKUP(C933,P:R,3,0))</f>
        <v/>
      </c>
      <c r="G933">
        <f>ROUND(IF(D933&gt;0,0,ABS(D933)),2)</f>
        <v>0</v>
      </c>
      <c r="H933">
        <f>ROUND(IF(D933&gt;0,D933,),2)</f>
        <v>0</v>
      </c>
      <c r="K933" s="7"/>
      <c r="L933" s="9"/>
      <c r="M933" s="9"/>
      <c r="N933" s="7"/>
      <c r="P933" s="19"/>
      <c r="Q933" s="5"/>
      <c r="R933" s="5"/>
      <c r="AF933" s="14"/>
    </row>
    <row r="934" spans="1:32" customFormat="1" x14ac:dyDescent="0.25">
      <c r="A934" s="9"/>
      <c r="C934" s="14"/>
      <c r="E934" t="str">
        <f>IF(ISNA(VLOOKUP(C934,P:Q,2,0)),"",VLOOKUP(C934,P:Q,2,0))</f>
        <v/>
      </c>
      <c r="F934" s="15" t="str">
        <f>IF(ISNA(VLOOKUP(C934,P:R,3,0)),"",VLOOKUP(C934,P:R,3,0))</f>
        <v/>
      </c>
      <c r="G934">
        <f>ROUND(IF(D934&gt;0,0,ABS(D934)),2)</f>
        <v>0</v>
      </c>
      <c r="H934">
        <f>ROUND(IF(D934&gt;0,D934,),2)</f>
        <v>0</v>
      </c>
      <c r="K934" s="7"/>
      <c r="L934" s="9"/>
      <c r="M934" s="9"/>
      <c r="N934" s="7"/>
      <c r="P934" s="19"/>
      <c r="Q934" s="5"/>
      <c r="R934" s="5"/>
      <c r="AF934" s="14"/>
    </row>
    <row r="935" spans="1:32" customFormat="1" x14ac:dyDescent="0.25">
      <c r="A935" s="9"/>
      <c r="C935" s="14"/>
      <c r="E935" t="str">
        <f>IF(ISNA(VLOOKUP(C935,P:Q,2,0)),"",VLOOKUP(C935,P:Q,2,0))</f>
        <v/>
      </c>
      <c r="F935" s="15" t="str">
        <f>IF(ISNA(VLOOKUP(C935,P:R,3,0)),"",VLOOKUP(C935,P:R,3,0))</f>
        <v/>
      </c>
      <c r="G935">
        <f>ROUND(IF(D935&gt;0,0,ABS(D935)),2)</f>
        <v>0</v>
      </c>
      <c r="H935">
        <f>ROUND(IF(D935&gt;0,D935,),2)</f>
        <v>0</v>
      </c>
      <c r="K935" s="7"/>
      <c r="L935" s="9"/>
      <c r="M935" s="9"/>
      <c r="N935" s="7"/>
      <c r="P935" s="19"/>
      <c r="Q935" s="5"/>
      <c r="R935" s="5"/>
      <c r="AF935" s="14"/>
    </row>
    <row r="936" spans="1:32" customFormat="1" x14ac:dyDescent="0.25">
      <c r="A936" s="9"/>
      <c r="C936" s="14"/>
      <c r="E936" t="str">
        <f>IF(ISNA(VLOOKUP(C936,P:Q,2,0)),"",VLOOKUP(C936,P:Q,2,0))</f>
        <v/>
      </c>
      <c r="F936" s="15" t="str">
        <f>IF(ISNA(VLOOKUP(C936,P:R,3,0)),"",VLOOKUP(C936,P:R,3,0))</f>
        <v/>
      </c>
      <c r="G936">
        <f>ROUND(IF(D936&gt;0,0,ABS(D936)),2)</f>
        <v>0</v>
      </c>
      <c r="H936">
        <f>ROUND(IF(D936&gt;0,D936,),2)</f>
        <v>0</v>
      </c>
      <c r="K936" s="7"/>
      <c r="L936" s="9"/>
      <c r="M936" s="9"/>
      <c r="N936" s="7"/>
      <c r="P936" s="19"/>
      <c r="Q936" s="5"/>
      <c r="R936" s="5"/>
      <c r="AF936" s="14"/>
    </row>
    <row r="937" spans="1:32" customFormat="1" x14ac:dyDescent="0.25">
      <c r="A937" s="9"/>
      <c r="C937" s="14"/>
      <c r="E937" t="str">
        <f>IF(ISNA(VLOOKUP(C937,P:Q,2,0)),"",VLOOKUP(C937,P:Q,2,0))</f>
        <v/>
      </c>
      <c r="F937" s="15" t="str">
        <f>IF(ISNA(VLOOKUP(C937,P:R,3,0)),"",VLOOKUP(C937,P:R,3,0))</f>
        <v/>
      </c>
      <c r="G937">
        <f>ROUND(IF(D937&gt;0,0,ABS(D937)),2)</f>
        <v>0</v>
      </c>
      <c r="H937">
        <f>ROUND(IF(D937&gt;0,D937,),2)</f>
        <v>0</v>
      </c>
      <c r="K937" s="7"/>
      <c r="L937" s="9"/>
      <c r="M937" s="9"/>
      <c r="N937" s="7"/>
      <c r="P937" s="19"/>
      <c r="Q937" s="5"/>
      <c r="R937" s="5"/>
      <c r="AF937" s="14"/>
    </row>
    <row r="938" spans="1:32" customFormat="1" x14ac:dyDescent="0.25">
      <c r="A938" s="9"/>
      <c r="C938" s="14"/>
      <c r="E938" t="str">
        <f>IF(ISNA(VLOOKUP(C938,P:Q,2,0)),"",VLOOKUP(C938,P:Q,2,0))</f>
        <v/>
      </c>
      <c r="F938" s="15" t="str">
        <f>IF(ISNA(VLOOKUP(C938,P:R,3,0)),"",VLOOKUP(C938,P:R,3,0))</f>
        <v/>
      </c>
      <c r="G938">
        <f>ROUND(IF(D938&gt;0,0,ABS(D938)),2)</f>
        <v>0</v>
      </c>
      <c r="H938">
        <f>ROUND(IF(D938&gt;0,D938,),2)</f>
        <v>0</v>
      </c>
      <c r="K938" s="7"/>
      <c r="L938" s="9"/>
      <c r="M938" s="9"/>
      <c r="N938" s="7"/>
      <c r="P938" s="19"/>
      <c r="Q938" s="5"/>
      <c r="R938" s="5"/>
      <c r="AF938" s="14"/>
    </row>
    <row r="939" spans="1:32" customFormat="1" x14ac:dyDescent="0.25">
      <c r="A939" s="9"/>
      <c r="C939" s="14"/>
      <c r="E939" t="str">
        <f>IF(ISNA(VLOOKUP(C939,P:Q,2,0)),"",VLOOKUP(C939,P:Q,2,0))</f>
        <v/>
      </c>
      <c r="F939" s="15" t="str">
        <f>IF(ISNA(VLOOKUP(C939,P:R,3,0)),"",VLOOKUP(C939,P:R,3,0))</f>
        <v/>
      </c>
      <c r="G939">
        <f>ROUND(IF(D939&gt;0,0,ABS(D939)),2)</f>
        <v>0</v>
      </c>
      <c r="H939">
        <f>ROUND(IF(D939&gt;0,D939,),2)</f>
        <v>0</v>
      </c>
      <c r="K939" s="7"/>
      <c r="L939" s="9"/>
      <c r="M939" s="9"/>
      <c r="N939" s="7"/>
      <c r="P939" s="19"/>
      <c r="Q939" s="5"/>
      <c r="R939" s="5"/>
      <c r="AF939" s="14"/>
    </row>
    <row r="940" spans="1:32" customFormat="1" x14ac:dyDescent="0.25">
      <c r="A940" s="9"/>
      <c r="C940" s="14"/>
      <c r="E940" t="str">
        <f>IF(ISNA(VLOOKUP(C940,P:Q,2,0)),"",VLOOKUP(C940,P:Q,2,0))</f>
        <v/>
      </c>
      <c r="F940" s="15" t="str">
        <f>IF(ISNA(VLOOKUP(C940,P:R,3,0)),"",VLOOKUP(C940,P:R,3,0))</f>
        <v/>
      </c>
      <c r="G940">
        <f>ROUND(IF(D940&gt;0,0,ABS(D940)),2)</f>
        <v>0</v>
      </c>
      <c r="H940">
        <f>ROUND(IF(D940&gt;0,D940,),2)</f>
        <v>0</v>
      </c>
      <c r="K940" s="7"/>
      <c r="L940" s="9"/>
      <c r="M940" s="9"/>
      <c r="N940" s="7"/>
      <c r="P940" s="19"/>
      <c r="Q940" s="5"/>
      <c r="R940" s="5"/>
      <c r="AF940" s="14"/>
    </row>
    <row r="941" spans="1:32" customFormat="1" x14ac:dyDescent="0.25">
      <c r="A941" s="9"/>
      <c r="C941" s="14"/>
      <c r="E941" t="str">
        <f>IF(ISNA(VLOOKUP(C941,P:Q,2,0)),"",VLOOKUP(C941,P:Q,2,0))</f>
        <v/>
      </c>
      <c r="F941" s="15" t="str">
        <f>IF(ISNA(VLOOKUP(C941,P:R,3,0)),"",VLOOKUP(C941,P:R,3,0))</f>
        <v/>
      </c>
      <c r="G941">
        <f>ROUND(IF(D941&gt;0,0,ABS(D941)),2)</f>
        <v>0</v>
      </c>
      <c r="H941">
        <f>ROUND(IF(D941&gt;0,D941,),2)</f>
        <v>0</v>
      </c>
      <c r="K941" s="7"/>
      <c r="L941" s="9"/>
      <c r="M941" s="9"/>
      <c r="N941" s="7"/>
      <c r="P941" s="19"/>
      <c r="Q941" s="5"/>
      <c r="R941" s="5"/>
      <c r="AF941" s="14"/>
    </row>
    <row r="942" spans="1:32" customFormat="1" x14ac:dyDescent="0.25">
      <c r="A942" s="9"/>
      <c r="C942" s="14"/>
      <c r="E942" t="str">
        <f>IF(ISNA(VLOOKUP(C942,P:Q,2,0)),"",VLOOKUP(C942,P:Q,2,0))</f>
        <v/>
      </c>
      <c r="F942" s="15" t="str">
        <f>IF(ISNA(VLOOKUP(C942,P:R,3,0)),"",VLOOKUP(C942,P:R,3,0))</f>
        <v/>
      </c>
      <c r="G942">
        <f>ROUND(IF(D942&gt;0,0,ABS(D942)),2)</f>
        <v>0</v>
      </c>
      <c r="H942">
        <f>ROUND(IF(D942&gt;0,D942,),2)</f>
        <v>0</v>
      </c>
      <c r="K942" s="7"/>
      <c r="L942" s="9"/>
      <c r="M942" s="9"/>
      <c r="N942" s="7"/>
      <c r="P942" s="19"/>
      <c r="Q942" s="5"/>
      <c r="R942" s="5"/>
      <c r="AF942" s="14"/>
    </row>
    <row r="943" spans="1:32" customFormat="1" x14ac:dyDescent="0.25">
      <c r="A943" s="9"/>
      <c r="C943" s="14"/>
      <c r="E943" t="str">
        <f>IF(ISNA(VLOOKUP(C943,P:Q,2,0)),"",VLOOKUP(C943,P:Q,2,0))</f>
        <v/>
      </c>
      <c r="F943" s="15" t="str">
        <f>IF(ISNA(VLOOKUP(C943,P:R,3,0)),"",VLOOKUP(C943,P:R,3,0))</f>
        <v/>
      </c>
      <c r="G943">
        <f>ROUND(IF(D943&gt;0,0,ABS(D943)),2)</f>
        <v>0</v>
      </c>
      <c r="H943">
        <f>ROUND(IF(D943&gt;0,D943,),2)</f>
        <v>0</v>
      </c>
      <c r="K943" s="7"/>
      <c r="L943" s="9"/>
      <c r="M943" s="9"/>
      <c r="N943" s="7"/>
      <c r="P943" s="19"/>
      <c r="Q943" s="5"/>
      <c r="R943" s="5"/>
      <c r="AF943" s="14"/>
    </row>
    <row r="944" spans="1:32" customFormat="1" x14ac:dyDescent="0.25">
      <c r="A944" s="9"/>
      <c r="C944" s="14"/>
      <c r="E944" t="str">
        <f>IF(ISNA(VLOOKUP(C944,P:Q,2,0)),"",VLOOKUP(C944,P:Q,2,0))</f>
        <v/>
      </c>
      <c r="F944" s="15" t="str">
        <f>IF(ISNA(VLOOKUP(C944,P:R,3,0)),"",VLOOKUP(C944,P:R,3,0))</f>
        <v/>
      </c>
      <c r="G944">
        <f>ROUND(IF(D944&gt;0,0,ABS(D944)),2)</f>
        <v>0</v>
      </c>
      <c r="H944">
        <f>ROUND(IF(D944&gt;0,D944,),2)</f>
        <v>0</v>
      </c>
      <c r="K944" s="7"/>
      <c r="L944" s="9"/>
      <c r="M944" s="9"/>
      <c r="N944" s="7"/>
      <c r="P944" s="19"/>
      <c r="Q944" s="5"/>
      <c r="R944" s="5"/>
      <c r="AF944" s="14"/>
    </row>
    <row r="945" spans="1:32" customFormat="1" x14ac:dyDescent="0.25">
      <c r="A945" s="9"/>
      <c r="C945" s="14"/>
      <c r="E945" t="str">
        <f>IF(ISNA(VLOOKUP(C945,P:Q,2,0)),"",VLOOKUP(C945,P:Q,2,0))</f>
        <v/>
      </c>
      <c r="F945" s="15" t="str">
        <f>IF(ISNA(VLOOKUP(C945,P:R,3,0)),"",VLOOKUP(C945,P:R,3,0))</f>
        <v/>
      </c>
      <c r="G945">
        <f>ROUND(IF(D945&gt;0,0,ABS(D945)),2)</f>
        <v>0</v>
      </c>
      <c r="H945">
        <f>ROUND(IF(D945&gt;0,D945,),2)</f>
        <v>0</v>
      </c>
      <c r="K945" s="7"/>
      <c r="L945" s="9"/>
      <c r="M945" s="9"/>
      <c r="N945" s="7"/>
      <c r="P945" s="19"/>
      <c r="Q945" s="5"/>
      <c r="R945" s="5"/>
      <c r="AF945" s="14"/>
    </row>
    <row r="946" spans="1:32" customFormat="1" x14ac:dyDescent="0.25">
      <c r="A946" s="9"/>
      <c r="C946" s="14"/>
      <c r="E946" t="str">
        <f>IF(ISNA(VLOOKUP(C946,P:Q,2,0)),"",VLOOKUP(C946,P:Q,2,0))</f>
        <v/>
      </c>
      <c r="F946" s="15" t="str">
        <f>IF(ISNA(VLOOKUP(C946,P:R,3,0)),"",VLOOKUP(C946,P:R,3,0))</f>
        <v/>
      </c>
      <c r="G946">
        <f>ROUND(IF(D946&gt;0,0,ABS(D946)),2)</f>
        <v>0</v>
      </c>
      <c r="H946">
        <f>ROUND(IF(D946&gt;0,D946,),2)</f>
        <v>0</v>
      </c>
      <c r="K946" s="7"/>
      <c r="L946" s="9"/>
      <c r="M946" s="9"/>
      <c r="N946" s="7"/>
      <c r="P946" s="19"/>
      <c r="Q946" s="5"/>
      <c r="R946" s="5"/>
      <c r="AF946" s="14"/>
    </row>
    <row r="947" spans="1:32" customFormat="1" x14ac:dyDescent="0.25">
      <c r="A947" s="9"/>
      <c r="C947" s="14"/>
      <c r="E947" t="str">
        <f>IF(ISNA(VLOOKUP(C947,P:Q,2,0)),"",VLOOKUP(C947,P:Q,2,0))</f>
        <v/>
      </c>
      <c r="F947" s="15" t="str">
        <f>IF(ISNA(VLOOKUP(C947,P:R,3,0)),"",VLOOKUP(C947,P:R,3,0))</f>
        <v/>
      </c>
      <c r="G947">
        <f>ROUND(IF(D947&gt;0,0,ABS(D947)),2)</f>
        <v>0</v>
      </c>
      <c r="H947">
        <f>ROUND(IF(D947&gt;0,D947,),2)</f>
        <v>0</v>
      </c>
      <c r="K947" s="7"/>
      <c r="L947" s="9"/>
      <c r="M947" s="9"/>
      <c r="N947" s="7"/>
      <c r="P947" s="19"/>
      <c r="Q947" s="5"/>
      <c r="R947" s="5"/>
      <c r="AF947" s="14"/>
    </row>
    <row r="948" spans="1:32" customFormat="1" x14ac:dyDescent="0.25">
      <c r="A948" s="9"/>
      <c r="C948" s="14"/>
      <c r="E948" t="str">
        <f>IF(ISNA(VLOOKUP(C948,P:Q,2,0)),"",VLOOKUP(C948,P:Q,2,0))</f>
        <v/>
      </c>
      <c r="F948" s="15" t="str">
        <f>IF(ISNA(VLOOKUP(C948,P:R,3,0)),"",VLOOKUP(C948,P:R,3,0))</f>
        <v/>
      </c>
      <c r="G948">
        <f>ROUND(IF(D948&gt;0,0,ABS(D948)),2)</f>
        <v>0</v>
      </c>
      <c r="H948">
        <f>ROUND(IF(D948&gt;0,D948,),2)</f>
        <v>0</v>
      </c>
      <c r="K948" s="7"/>
      <c r="L948" s="9"/>
      <c r="M948" s="9"/>
      <c r="N948" s="7"/>
      <c r="P948" s="19"/>
      <c r="Q948" s="5"/>
      <c r="R948" s="5"/>
      <c r="AF948" s="14"/>
    </row>
    <row r="949" spans="1:32" customFormat="1" x14ac:dyDescent="0.25">
      <c r="A949" s="9"/>
      <c r="C949" s="14"/>
      <c r="E949" t="str">
        <f>IF(ISNA(VLOOKUP(C949,P:Q,2,0)),"",VLOOKUP(C949,P:Q,2,0))</f>
        <v/>
      </c>
      <c r="F949" s="15" t="str">
        <f>IF(ISNA(VLOOKUP(C949,P:R,3,0)),"",VLOOKUP(C949,P:R,3,0))</f>
        <v/>
      </c>
      <c r="G949">
        <f>ROUND(IF(D949&gt;0,0,ABS(D949)),2)</f>
        <v>0</v>
      </c>
      <c r="H949">
        <f>ROUND(IF(D949&gt;0,D949,),2)</f>
        <v>0</v>
      </c>
      <c r="K949" s="7"/>
      <c r="L949" s="9"/>
      <c r="M949" s="9"/>
      <c r="N949" s="7"/>
      <c r="P949" s="19"/>
      <c r="Q949" s="5"/>
      <c r="R949" s="5"/>
      <c r="AF949" s="14"/>
    </row>
    <row r="950" spans="1:32" customFormat="1" x14ac:dyDescent="0.25">
      <c r="A950" s="9"/>
      <c r="C950" s="14"/>
      <c r="E950" t="str">
        <f>IF(ISNA(VLOOKUP(C950,P:Q,2,0)),"",VLOOKUP(C950,P:Q,2,0))</f>
        <v/>
      </c>
      <c r="F950" s="15" t="str">
        <f>IF(ISNA(VLOOKUP(C950,P:R,3,0)),"",VLOOKUP(C950,P:R,3,0))</f>
        <v/>
      </c>
      <c r="G950">
        <f>ROUND(IF(D950&gt;0,0,ABS(D950)),2)</f>
        <v>0</v>
      </c>
      <c r="H950">
        <f>ROUND(IF(D950&gt;0,D950,),2)</f>
        <v>0</v>
      </c>
      <c r="K950" s="7"/>
      <c r="L950" s="9"/>
      <c r="M950" s="9"/>
      <c r="N950" s="7"/>
      <c r="P950" s="19"/>
      <c r="Q950" s="5"/>
      <c r="R950" s="5"/>
      <c r="AF950" s="14"/>
    </row>
    <row r="951" spans="1:32" customFormat="1" x14ac:dyDescent="0.25">
      <c r="A951" s="9"/>
      <c r="C951" s="14"/>
      <c r="E951" t="str">
        <f>IF(ISNA(VLOOKUP(C951,P:Q,2,0)),"",VLOOKUP(C951,P:Q,2,0))</f>
        <v/>
      </c>
      <c r="F951" s="15" t="str">
        <f>IF(ISNA(VLOOKUP(C951,P:R,3,0)),"",VLOOKUP(C951,P:R,3,0))</f>
        <v/>
      </c>
      <c r="G951">
        <f>ROUND(IF(D951&gt;0,0,ABS(D951)),2)</f>
        <v>0</v>
      </c>
      <c r="H951">
        <f>ROUND(IF(D951&gt;0,D951,),2)</f>
        <v>0</v>
      </c>
      <c r="K951" s="7"/>
      <c r="L951" s="9"/>
      <c r="M951" s="9"/>
      <c r="N951" s="7"/>
      <c r="P951" s="19"/>
      <c r="Q951" s="5"/>
      <c r="R951" s="5"/>
      <c r="AF951" s="14"/>
    </row>
    <row r="952" spans="1:32" customFormat="1" x14ac:dyDescent="0.25">
      <c r="A952" s="9"/>
      <c r="C952" s="14"/>
      <c r="E952" t="str">
        <f>IF(ISNA(VLOOKUP(C952,P:Q,2,0)),"",VLOOKUP(C952,P:Q,2,0))</f>
        <v/>
      </c>
      <c r="F952" s="15" t="str">
        <f>IF(ISNA(VLOOKUP(C952,P:R,3,0)),"",VLOOKUP(C952,P:R,3,0))</f>
        <v/>
      </c>
      <c r="G952">
        <f>ROUND(IF(D952&gt;0,0,ABS(D952)),2)</f>
        <v>0</v>
      </c>
      <c r="H952">
        <f>ROUND(IF(D952&gt;0,D952,),2)</f>
        <v>0</v>
      </c>
      <c r="K952" s="7"/>
      <c r="L952" s="9"/>
      <c r="M952" s="9"/>
      <c r="N952" s="7"/>
      <c r="P952" s="19"/>
      <c r="Q952" s="5"/>
      <c r="R952" s="5"/>
      <c r="AF952" s="14"/>
    </row>
    <row r="953" spans="1:32" customFormat="1" x14ac:dyDescent="0.25">
      <c r="A953" s="9"/>
      <c r="C953" s="14"/>
      <c r="E953" t="str">
        <f>IF(ISNA(VLOOKUP(C953,P:Q,2,0)),"",VLOOKUP(C953,P:Q,2,0))</f>
        <v/>
      </c>
      <c r="F953" s="15" t="str">
        <f>IF(ISNA(VLOOKUP(C953,P:R,3,0)),"",VLOOKUP(C953,P:R,3,0))</f>
        <v/>
      </c>
      <c r="G953">
        <f>ROUND(IF(D953&gt;0,0,ABS(D953)),2)</f>
        <v>0</v>
      </c>
      <c r="H953">
        <f>ROUND(IF(D953&gt;0,D953,),2)</f>
        <v>0</v>
      </c>
      <c r="K953" s="7"/>
      <c r="L953" s="9"/>
      <c r="M953" s="9"/>
      <c r="N953" s="7"/>
      <c r="P953" s="19"/>
      <c r="Q953" s="5"/>
      <c r="R953" s="5"/>
      <c r="AF953" s="14"/>
    </row>
    <row r="954" spans="1:32" customFormat="1" x14ac:dyDescent="0.25">
      <c r="A954" s="9"/>
      <c r="C954" s="14"/>
      <c r="E954" t="str">
        <f>IF(ISNA(VLOOKUP(C954,P:Q,2,0)),"",VLOOKUP(C954,P:Q,2,0))</f>
        <v/>
      </c>
      <c r="F954" s="15" t="str">
        <f>IF(ISNA(VLOOKUP(C954,P:R,3,0)),"",VLOOKUP(C954,P:R,3,0))</f>
        <v/>
      </c>
      <c r="G954">
        <f>ROUND(IF(D954&gt;0,0,ABS(D954)),2)</f>
        <v>0</v>
      </c>
      <c r="H954">
        <f>ROUND(IF(D954&gt;0,D954,),2)</f>
        <v>0</v>
      </c>
      <c r="K954" s="7"/>
      <c r="L954" s="9"/>
      <c r="M954" s="9"/>
      <c r="N954" s="7"/>
      <c r="P954" s="19"/>
      <c r="Q954" s="5"/>
      <c r="R954" s="5"/>
      <c r="AF954" s="14"/>
    </row>
    <row r="955" spans="1:32" customFormat="1" x14ac:dyDescent="0.25">
      <c r="A955" s="9"/>
      <c r="C955" s="14"/>
      <c r="E955" t="str">
        <f>IF(ISNA(VLOOKUP(C955,P:Q,2,0)),"",VLOOKUP(C955,P:Q,2,0))</f>
        <v/>
      </c>
      <c r="F955" s="15" t="str">
        <f>IF(ISNA(VLOOKUP(C955,P:R,3,0)),"",VLOOKUP(C955,P:R,3,0))</f>
        <v/>
      </c>
      <c r="G955">
        <f>ROUND(IF(D955&gt;0,0,ABS(D955)),2)</f>
        <v>0</v>
      </c>
      <c r="H955">
        <f>ROUND(IF(D955&gt;0,D955,),2)</f>
        <v>0</v>
      </c>
      <c r="K955" s="7"/>
      <c r="L955" s="9"/>
      <c r="M955" s="9"/>
      <c r="N955" s="7"/>
      <c r="P955" s="19"/>
      <c r="Q955" s="5"/>
      <c r="R955" s="5"/>
      <c r="AF955" s="14"/>
    </row>
    <row r="956" spans="1:32" customFormat="1" x14ac:dyDescent="0.25">
      <c r="A956" s="9"/>
      <c r="C956" s="14"/>
      <c r="E956" t="str">
        <f>IF(ISNA(VLOOKUP(C956,P:Q,2,0)),"",VLOOKUP(C956,P:Q,2,0))</f>
        <v/>
      </c>
      <c r="F956" s="15" t="str">
        <f>IF(ISNA(VLOOKUP(C956,P:R,3,0)),"",VLOOKUP(C956,P:R,3,0))</f>
        <v/>
      </c>
      <c r="G956">
        <f>ROUND(IF(D956&gt;0,0,ABS(D956)),2)</f>
        <v>0</v>
      </c>
      <c r="H956">
        <f>ROUND(IF(D956&gt;0,D956,),2)</f>
        <v>0</v>
      </c>
      <c r="K956" s="7"/>
      <c r="L956" s="9"/>
      <c r="M956" s="9"/>
      <c r="N956" s="7"/>
      <c r="P956" s="19"/>
      <c r="Q956" s="5"/>
      <c r="R956" s="5"/>
      <c r="AF956" s="14"/>
    </row>
    <row r="957" spans="1:32" customFormat="1" x14ac:dyDescent="0.25">
      <c r="A957" s="9"/>
      <c r="C957" s="14"/>
      <c r="E957" t="str">
        <f>IF(ISNA(VLOOKUP(C957,P:Q,2,0)),"",VLOOKUP(C957,P:Q,2,0))</f>
        <v/>
      </c>
      <c r="F957" s="15" t="str">
        <f>IF(ISNA(VLOOKUP(C957,P:R,3,0)),"",VLOOKUP(C957,P:R,3,0))</f>
        <v/>
      </c>
      <c r="G957">
        <f>ROUND(IF(D957&gt;0,0,ABS(D957)),2)</f>
        <v>0</v>
      </c>
      <c r="H957">
        <f>ROUND(IF(D957&gt;0,D957,),2)</f>
        <v>0</v>
      </c>
      <c r="K957" s="7"/>
      <c r="L957" s="9"/>
      <c r="M957" s="9"/>
      <c r="N957" s="7"/>
      <c r="P957" s="19"/>
      <c r="Q957" s="5"/>
      <c r="R957" s="5"/>
      <c r="AF957" s="14"/>
    </row>
    <row r="958" spans="1:32" customFormat="1" x14ac:dyDescent="0.25">
      <c r="A958" s="9"/>
      <c r="C958" s="14"/>
      <c r="E958" t="str">
        <f>IF(ISNA(VLOOKUP(C958,P:Q,2,0)),"",VLOOKUP(C958,P:Q,2,0))</f>
        <v/>
      </c>
      <c r="F958" s="15" t="str">
        <f>IF(ISNA(VLOOKUP(C958,P:R,3,0)),"",VLOOKUP(C958,P:R,3,0))</f>
        <v/>
      </c>
      <c r="G958">
        <f>ROUND(IF(D958&gt;0,0,ABS(D958)),2)</f>
        <v>0</v>
      </c>
      <c r="H958">
        <f>ROUND(IF(D958&gt;0,D958,),2)</f>
        <v>0</v>
      </c>
      <c r="K958" s="7"/>
      <c r="L958" s="9"/>
      <c r="M958" s="9"/>
      <c r="N958" s="7"/>
      <c r="P958" s="19"/>
      <c r="Q958" s="5"/>
      <c r="R958" s="5"/>
      <c r="AF958" s="14"/>
    </row>
    <row r="959" spans="1:32" customFormat="1" x14ac:dyDescent="0.25">
      <c r="A959" s="9"/>
      <c r="C959" s="14"/>
      <c r="E959" t="str">
        <f>IF(ISNA(VLOOKUP(C959,P:Q,2,0)),"",VLOOKUP(C959,P:Q,2,0))</f>
        <v/>
      </c>
      <c r="F959" s="15" t="str">
        <f>IF(ISNA(VLOOKUP(C959,P:R,3,0)),"",VLOOKUP(C959,P:R,3,0))</f>
        <v/>
      </c>
      <c r="G959">
        <f>ROUND(IF(D959&gt;0,0,ABS(D959)),2)</f>
        <v>0</v>
      </c>
      <c r="H959">
        <f>ROUND(IF(D959&gt;0,D959,),2)</f>
        <v>0</v>
      </c>
      <c r="K959" s="7"/>
      <c r="L959" s="9"/>
      <c r="M959" s="9"/>
      <c r="N959" s="7"/>
      <c r="P959" s="19"/>
      <c r="Q959" s="5"/>
      <c r="R959" s="5"/>
      <c r="AF959" s="14"/>
    </row>
    <row r="960" spans="1:32" customFormat="1" x14ac:dyDescent="0.25">
      <c r="A960" s="9"/>
      <c r="C960" s="14"/>
      <c r="E960" t="str">
        <f>IF(ISNA(VLOOKUP(C960,P:Q,2,0)),"",VLOOKUP(C960,P:Q,2,0))</f>
        <v/>
      </c>
      <c r="F960" s="15" t="str">
        <f>IF(ISNA(VLOOKUP(C960,P:R,3,0)),"",VLOOKUP(C960,P:R,3,0))</f>
        <v/>
      </c>
      <c r="G960">
        <f>ROUND(IF(D960&gt;0,0,ABS(D960)),2)</f>
        <v>0</v>
      </c>
      <c r="H960">
        <f>ROUND(IF(D960&gt;0,D960,),2)</f>
        <v>0</v>
      </c>
      <c r="K960" s="7"/>
      <c r="L960" s="9"/>
      <c r="M960" s="9"/>
      <c r="N960" s="7"/>
      <c r="P960" s="19"/>
      <c r="Q960" s="5"/>
      <c r="R960" s="5"/>
      <c r="AF960" s="14"/>
    </row>
    <row r="961" spans="1:32" customFormat="1" x14ac:dyDescent="0.25">
      <c r="A961" s="9"/>
      <c r="C961" s="14"/>
      <c r="E961" t="str">
        <f>IF(ISNA(VLOOKUP(C961,P:Q,2,0)),"",VLOOKUP(C961,P:Q,2,0))</f>
        <v/>
      </c>
      <c r="F961" s="15" t="str">
        <f>IF(ISNA(VLOOKUP(C961,P:R,3,0)),"",VLOOKUP(C961,P:R,3,0))</f>
        <v/>
      </c>
      <c r="G961">
        <f>ROUND(IF(D961&gt;0,0,ABS(D961)),2)</f>
        <v>0</v>
      </c>
      <c r="H961">
        <f>ROUND(IF(D961&gt;0,D961,),2)</f>
        <v>0</v>
      </c>
      <c r="K961" s="7"/>
      <c r="L961" s="9"/>
      <c r="M961" s="9"/>
      <c r="N961" s="7"/>
      <c r="P961" s="19"/>
      <c r="Q961" s="5"/>
      <c r="R961" s="5"/>
      <c r="AF961" s="14"/>
    </row>
    <row r="962" spans="1:32" customFormat="1" x14ac:dyDescent="0.25">
      <c r="A962" s="9"/>
      <c r="C962" s="14"/>
      <c r="E962" t="str">
        <f>IF(ISNA(VLOOKUP(C962,P:Q,2,0)),"",VLOOKUP(C962,P:Q,2,0))</f>
        <v/>
      </c>
      <c r="F962" s="15" t="str">
        <f>IF(ISNA(VLOOKUP(C962,P:R,3,0)),"",VLOOKUP(C962,P:R,3,0))</f>
        <v/>
      </c>
      <c r="G962">
        <f>ROUND(IF(D962&gt;0,0,ABS(D962)),2)</f>
        <v>0</v>
      </c>
      <c r="H962">
        <f>ROUND(IF(D962&gt;0,D962,),2)</f>
        <v>0</v>
      </c>
      <c r="K962" s="7"/>
      <c r="L962" s="9"/>
      <c r="M962" s="9"/>
      <c r="N962" s="7"/>
      <c r="P962" s="19"/>
      <c r="Q962" s="5"/>
      <c r="R962" s="5"/>
      <c r="AF962" s="14"/>
    </row>
    <row r="963" spans="1:32" customFormat="1" x14ac:dyDescent="0.25">
      <c r="A963" s="9"/>
      <c r="C963" s="14"/>
      <c r="E963" t="str">
        <f>IF(ISNA(VLOOKUP(C963,P:Q,2,0)),"",VLOOKUP(C963,P:Q,2,0))</f>
        <v/>
      </c>
      <c r="F963" s="15" t="str">
        <f>IF(ISNA(VLOOKUP(C963,P:R,3,0)),"",VLOOKUP(C963,P:R,3,0))</f>
        <v/>
      </c>
      <c r="G963">
        <f>ROUND(IF(D963&gt;0,0,ABS(D963)),2)</f>
        <v>0</v>
      </c>
      <c r="H963">
        <f>ROUND(IF(D963&gt;0,D963,),2)</f>
        <v>0</v>
      </c>
      <c r="K963" s="7"/>
      <c r="L963" s="9"/>
      <c r="M963" s="9"/>
      <c r="N963" s="7"/>
      <c r="P963" s="19"/>
      <c r="Q963" s="5"/>
      <c r="R963" s="5"/>
      <c r="AF963" s="14"/>
    </row>
    <row r="964" spans="1:32" customFormat="1" x14ac:dyDescent="0.25">
      <c r="A964" s="9"/>
      <c r="C964" s="14"/>
      <c r="E964" t="str">
        <f>IF(ISNA(VLOOKUP(C964,P:Q,2,0)),"",VLOOKUP(C964,P:Q,2,0))</f>
        <v/>
      </c>
      <c r="F964" s="15" t="str">
        <f>IF(ISNA(VLOOKUP(C964,P:R,3,0)),"",VLOOKUP(C964,P:R,3,0))</f>
        <v/>
      </c>
      <c r="G964">
        <f>ROUND(IF(D964&gt;0,0,ABS(D964)),2)</f>
        <v>0</v>
      </c>
      <c r="H964">
        <f>ROUND(IF(D964&gt;0,D964,),2)</f>
        <v>0</v>
      </c>
      <c r="K964" s="7"/>
      <c r="L964" s="9"/>
      <c r="M964" s="9"/>
      <c r="N964" s="7"/>
      <c r="P964" s="8"/>
      <c r="Q964" s="5"/>
      <c r="R964" s="5"/>
      <c r="AF964" s="14"/>
    </row>
    <row r="965" spans="1:32" customFormat="1" x14ac:dyDescent="0.25">
      <c r="A965" s="9"/>
      <c r="C965" s="14"/>
      <c r="E965" t="str">
        <f>IF(ISNA(VLOOKUP(C965,P:Q,2,0)),"",VLOOKUP(C965,P:Q,2,0))</f>
        <v/>
      </c>
      <c r="F965" s="15" t="str">
        <f>IF(ISNA(VLOOKUP(C965,P:R,3,0)),"",VLOOKUP(C965,P:R,3,0))</f>
        <v/>
      </c>
      <c r="G965">
        <f>ROUND(IF(D965&gt;0,0,ABS(D965)),2)</f>
        <v>0</v>
      </c>
      <c r="H965">
        <f>ROUND(IF(D965&gt;0,D965,),2)</f>
        <v>0</v>
      </c>
      <c r="K965" s="7"/>
      <c r="L965" s="9"/>
      <c r="M965" s="9"/>
      <c r="N965" s="7"/>
      <c r="P965" s="8"/>
      <c r="Q965" s="5"/>
      <c r="R965" s="5"/>
      <c r="AF965" s="14"/>
    </row>
    <row r="966" spans="1:32" customFormat="1" x14ac:dyDescent="0.25">
      <c r="A966" s="9"/>
      <c r="C966" s="14"/>
      <c r="E966" t="str">
        <f>IF(ISNA(VLOOKUP(C966,P:Q,2,0)),"",VLOOKUP(C966,P:Q,2,0))</f>
        <v/>
      </c>
      <c r="F966" s="15" t="str">
        <f>IF(ISNA(VLOOKUP(C966,P:R,3,0)),"",VLOOKUP(C966,P:R,3,0))</f>
        <v/>
      </c>
      <c r="G966">
        <f>ROUND(IF(D966&gt;0,0,ABS(D966)),2)</f>
        <v>0</v>
      </c>
      <c r="H966">
        <f>ROUND(IF(D966&gt;0,D966,),2)</f>
        <v>0</v>
      </c>
      <c r="K966" s="7"/>
      <c r="L966" s="9"/>
      <c r="M966" s="9"/>
      <c r="N966" s="7"/>
      <c r="P966" s="8"/>
      <c r="Q966" s="5"/>
      <c r="R966" s="5"/>
      <c r="AF966" s="14"/>
    </row>
    <row r="967" spans="1:32" customFormat="1" x14ac:dyDescent="0.25">
      <c r="A967" s="9"/>
      <c r="C967" s="14"/>
      <c r="E967" t="str">
        <f>IF(ISNA(VLOOKUP(C967,P:Q,2,0)),"",VLOOKUP(C967,P:Q,2,0))</f>
        <v/>
      </c>
      <c r="F967" s="15" t="str">
        <f>IF(ISNA(VLOOKUP(C967,P:R,3,0)),"",VLOOKUP(C967,P:R,3,0))</f>
        <v/>
      </c>
      <c r="G967">
        <f>ROUND(IF(D967&gt;0,0,ABS(D967)),2)</f>
        <v>0</v>
      </c>
      <c r="H967">
        <f>ROUND(IF(D967&gt;0,D967,),2)</f>
        <v>0</v>
      </c>
      <c r="K967" s="7"/>
      <c r="L967" s="9"/>
      <c r="M967" s="9"/>
      <c r="N967" s="7"/>
      <c r="P967" s="8"/>
      <c r="Q967" s="5"/>
      <c r="R967" s="5"/>
      <c r="AF967" s="14"/>
    </row>
    <row r="968" spans="1:32" customFormat="1" x14ac:dyDescent="0.25">
      <c r="A968" s="9"/>
      <c r="C968" s="14"/>
      <c r="E968" t="str">
        <f>IF(ISNA(VLOOKUP(C968,P:Q,2,0)),"",VLOOKUP(C968,P:Q,2,0))</f>
        <v/>
      </c>
      <c r="F968" s="15" t="str">
        <f>IF(ISNA(VLOOKUP(C968,P:R,3,0)),"",VLOOKUP(C968,P:R,3,0))</f>
        <v/>
      </c>
      <c r="G968">
        <f>ROUND(IF(D968&gt;0,0,ABS(D968)),2)</f>
        <v>0</v>
      </c>
      <c r="H968">
        <f>ROUND(IF(D968&gt;0,D968,),2)</f>
        <v>0</v>
      </c>
      <c r="K968" s="7"/>
      <c r="L968" s="9"/>
      <c r="M968" s="9"/>
      <c r="N968" s="7"/>
      <c r="P968" s="8"/>
      <c r="Q968" s="5"/>
      <c r="R968" s="5"/>
      <c r="AF968" s="14"/>
    </row>
    <row r="969" spans="1:32" customFormat="1" x14ac:dyDescent="0.25">
      <c r="A969" s="9"/>
      <c r="C969" s="14"/>
      <c r="E969" t="str">
        <f>IF(ISNA(VLOOKUP(C969,P:Q,2,0)),"",VLOOKUP(C969,P:Q,2,0))</f>
        <v/>
      </c>
      <c r="F969" s="15" t="str">
        <f>IF(ISNA(VLOOKUP(C969,P:R,3,0)),"",VLOOKUP(C969,P:R,3,0))</f>
        <v/>
      </c>
      <c r="G969">
        <f>ROUND(IF(D969&gt;0,0,ABS(D969)),2)</f>
        <v>0</v>
      </c>
      <c r="H969">
        <f>ROUND(IF(D969&gt;0,D969,),2)</f>
        <v>0</v>
      </c>
      <c r="K969" s="7"/>
      <c r="L969" s="9"/>
      <c r="M969" s="9"/>
      <c r="N969" s="7"/>
      <c r="P969" s="8"/>
      <c r="Q969" s="5"/>
      <c r="R969" s="5"/>
      <c r="AF969" s="14"/>
    </row>
    <row r="970" spans="1:32" customFormat="1" x14ac:dyDescent="0.25">
      <c r="A970" s="9"/>
      <c r="C970" s="14"/>
      <c r="E970" t="str">
        <f>IF(ISNA(VLOOKUP(C970,P:Q,2,0)),"",VLOOKUP(C970,P:Q,2,0))</f>
        <v/>
      </c>
      <c r="F970" s="15" t="str">
        <f>IF(ISNA(VLOOKUP(C970,P:R,3,0)),"",VLOOKUP(C970,P:R,3,0))</f>
        <v/>
      </c>
      <c r="G970">
        <f>ROUND(IF(D970&gt;0,0,ABS(D970)),2)</f>
        <v>0</v>
      </c>
      <c r="H970">
        <f>ROUND(IF(D970&gt;0,D970,),2)</f>
        <v>0</v>
      </c>
      <c r="K970" s="7"/>
      <c r="L970" s="9"/>
      <c r="M970" s="9"/>
      <c r="N970" s="7"/>
      <c r="P970" s="8"/>
      <c r="Q970" s="5"/>
      <c r="R970" s="5"/>
      <c r="AF970" s="14"/>
    </row>
    <row r="971" spans="1:32" customFormat="1" x14ac:dyDescent="0.25">
      <c r="A971" s="9"/>
      <c r="C971" s="14"/>
      <c r="E971" t="str">
        <f>IF(ISNA(VLOOKUP(C971,P:Q,2,0)),"",VLOOKUP(C971,P:Q,2,0))</f>
        <v/>
      </c>
      <c r="F971" s="15" t="str">
        <f>IF(ISNA(VLOOKUP(C971,P:R,3,0)),"",VLOOKUP(C971,P:R,3,0))</f>
        <v/>
      </c>
      <c r="G971">
        <f>ROUND(IF(D971&gt;0,0,ABS(D971)),2)</f>
        <v>0</v>
      </c>
      <c r="H971">
        <f>ROUND(IF(D971&gt;0,D971,),2)</f>
        <v>0</v>
      </c>
      <c r="K971" s="7"/>
      <c r="L971" s="9"/>
      <c r="M971" s="9"/>
      <c r="N971" s="7"/>
      <c r="P971" s="8"/>
      <c r="Q971" s="5"/>
      <c r="R971" s="5"/>
      <c r="AF971" s="14"/>
    </row>
    <row r="972" spans="1:32" customFormat="1" x14ac:dyDescent="0.25">
      <c r="A972" s="9"/>
      <c r="C972" s="14"/>
      <c r="E972" t="str">
        <f>IF(ISNA(VLOOKUP(C972,P:Q,2,0)),"",VLOOKUP(C972,P:Q,2,0))</f>
        <v/>
      </c>
      <c r="F972" s="15" t="str">
        <f>IF(ISNA(VLOOKUP(C972,P:R,3,0)),"",VLOOKUP(C972,P:R,3,0))</f>
        <v/>
      </c>
      <c r="G972">
        <f>ROUND(IF(D972&gt;0,0,ABS(D972)),2)</f>
        <v>0</v>
      </c>
      <c r="H972">
        <f>ROUND(IF(D972&gt;0,D972,),2)</f>
        <v>0</v>
      </c>
      <c r="K972" s="7"/>
      <c r="L972" s="9"/>
      <c r="M972" s="9"/>
      <c r="N972" s="7"/>
      <c r="P972" s="8"/>
      <c r="Q972" s="5"/>
      <c r="R972" s="5"/>
      <c r="AF972" s="14"/>
    </row>
    <row r="973" spans="1:32" customFormat="1" x14ac:dyDescent="0.25">
      <c r="A973" s="9"/>
      <c r="C973" s="14"/>
      <c r="E973" t="str">
        <f>IF(ISNA(VLOOKUP(C973,P:Q,2,0)),"",VLOOKUP(C973,P:Q,2,0))</f>
        <v/>
      </c>
      <c r="F973" s="15" t="str">
        <f>IF(ISNA(VLOOKUP(C973,P:R,3,0)),"",VLOOKUP(C973,P:R,3,0))</f>
        <v/>
      </c>
      <c r="G973">
        <f>ROUND(IF(D973&gt;0,0,ABS(D973)),2)</f>
        <v>0</v>
      </c>
      <c r="H973">
        <f>ROUND(IF(D973&gt;0,D973,),2)</f>
        <v>0</v>
      </c>
      <c r="K973" s="7"/>
      <c r="L973" s="9"/>
      <c r="M973" s="9"/>
      <c r="N973" s="7"/>
      <c r="P973" s="8"/>
      <c r="Q973" s="5"/>
      <c r="R973" s="5"/>
      <c r="AF973" s="14"/>
    </row>
    <row r="974" spans="1:32" customFormat="1" x14ac:dyDescent="0.25">
      <c r="A974" s="9"/>
      <c r="C974" s="14"/>
      <c r="E974" t="str">
        <f>IF(ISNA(VLOOKUP(C974,P:Q,2,0)),"",VLOOKUP(C974,P:Q,2,0))</f>
        <v/>
      </c>
      <c r="F974" s="15" t="str">
        <f>IF(ISNA(VLOOKUP(C974,P:R,3,0)),"",VLOOKUP(C974,P:R,3,0))</f>
        <v/>
      </c>
      <c r="G974">
        <f>ROUND(IF(D974&gt;0,0,ABS(D974)),2)</f>
        <v>0</v>
      </c>
      <c r="H974">
        <f>ROUND(IF(D974&gt;0,D974,),2)</f>
        <v>0</v>
      </c>
      <c r="K974" s="7"/>
      <c r="L974" s="9"/>
      <c r="M974" s="9"/>
      <c r="N974" s="7"/>
      <c r="P974" s="8"/>
      <c r="Q974" s="5"/>
      <c r="R974" s="5"/>
      <c r="AF974" s="14"/>
    </row>
    <row r="975" spans="1:32" customFormat="1" x14ac:dyDescent="0.25">
      <c r="A975" s="9"/>
      <c r="C975" s="14"/>
      <c r="E975" t="str">
        <f>IF(ISNA(VLOOKUP(C975,P:Q,2,0)),"",VLOOKUP(C975,P:Q,2,0))</f>
        <v/>
      </c>
      <c r="F975" s="15" t="str">
        <f>IF(ISNA(VLOOKUP(C975,P:R,3,0)),"",VLOOKUP(C975,P:R,3,0))</f>
        <v/>
      </c>
      <c r="G975">
        <f>ROUND(IF(D975&gt;0,0,ABS(D975)),2)</f>
        <v>0</v>
      </c>
      <c r="H975">
        <f>ROUND(IF(D975&gt;0,D975,),2)</f>
        <v>0</v>
      </c>
      <c r="K975" s="7"/>
      <c r="L975" s="9"/>
      <c r="M975" s="9"/>
      <c r="N975" s="7"/>
      <c r="P975" s="8"/>
      <c r="Q975" s="5"/>
      <c r="R975" s="5"/>
      <c r="AF975" s="14"/>
    </row>
    <row r="976" spans="1:32" customFormat="1" x14ac:dyDescent="0.25">
      <c r="A976" s="9"/>
      <c r="C976" s="14"/>
      <c r="E976" t="str">
        <f>IF(ISNA(VLOOKUP(C976,P:Q,2,0)),"",VLOOKUP(C976,P:Q,2,0))</f>
        <v/>
      </c>
      <c r="F976" s="15" t="str">
        <f>IF(ISNA(VLOOKUP(C976,P:R,3,0)),"",VLOOKUP(C976,P:R,3,0))</f>
        <v/>
      </c>
      <c r="G976">
        <f>ROUND(IF(D976&gt;0,0,ABS(D976)),2)</f>
        <v>0</v>
      </c>
      <c r="H976">
        <f>ROUND(IF(D976&gt;0,D976,),2)</f>
        <v>0</v>
      </c>
      <c r="K976" s="7"/>
      <c r="L976" s="9"/>
      <c r="M976" s="9"/>
      <c r="N976" s="7"/>
      <c r="P976" s="8"/>
      <c r="Q976" s="5"/>
      <c r="R976" s="5"/>
      <c r="AF976" s="14"/>
    </row>
    <row r="977" spans="1:32" customFormat="1" x14ac:dyDescent="0.25">
      <c r="A977" s="9"/>
      <c r="C977" s="14"/>
      <c r="E977" t="str">
        <f>IF(ISNA(VLOOKUP(C977,P:Q,2,0)),"",VLOOKUP(C977,P:Q,2,0))</f>
        <v/>
      </c>
      <c r="F977" s="15" t="str">
        <f>IF(ISNA(VLOOKUP(C977,P:R,3,0)),"",VLOOKUP(C977,P:R,3,0))</f>
        <v/>
      </c>
      <c r="G977">
        <f>ROUND(IF(D977&gt;0,0,ABS(D977)),2)</f>
        <v>0</v>
      </c>
      <c r="H977">
        <f>ROUND(IF(D977&gt;0,D977,),2)</f>
        <v>0</v>
      </c>
      <c r="K977" s="7"/>
      <c r="L977" s="9"/>
      <c r="M977" s="9"/>
      <c r="N977" s="7"/>
      <c r="P977" s="8"/>
      <c r="Q977" s="5"/>
      <c r="R977" s="5"/>
      <c r="AF977" s="14"/>
    </row>
    <row r="978" spans="1:32" customFormat="1" x14ac:dyDescent="0.25">
      <c r="A978" s="9"/>
      <c r="C978" s="14"/>
      <c r="E978" t="str">
        <f>IF(ISNA(VLOOKUP(C978,P:Q,2,0)),"",VLOOKUP(C978,P:Q,2,0))</f>
        <v/>
      </c>
      <c r="F978" s="15" t="str">
        <f>IF(ISNA(VLOOKUP(C978,P:R,3,0)),"",VLOOKUP(C978,P:R,3,0))</f>
        <v/>
      </c>
      <c r="G978">
        <f>ROUND(IF(D978&gt;0,0,ABS(D978)),2)</f>
        <v>0</v>
      </c>
      <c r="H978">
        <f>ROUND(IF(D978&gt;0,D978,),2)</f>
        <v>0</v>
      </c>
      <c r="K978" s="7"/>
      <c r="L978" s="9"/>
      <c r="M978" s="9"/>
      <c r="N978" s="7"/>
      <c r="P978" s="8"/>
      <c r="Q978" s="5"/>
      <c r="R978" s="5"/>
      <c r="AF978" s="14"/>
    </row>
    <row r="979" spans="1:32" customFormat="1" x14ac:dyDescent="0.25">
      <c r="A979" s="9"/>
      <c r="C979" s="14"/>
      <c r="E979" t="str">
        <f>IF(ISNA(VLOOKUP(C979,P:Q,2,0)),"",VLOOKUP(C979,P:Q,2,0))</f>
        <v/>
      </c>
      <c r="F979" s="15" t="str">
        <f>IF(ISNA(VLOOKUP(C979,P:R,3,0)),"",VLOOKUP(C979,P:R,3,0))</f>
        <v/>
      </c>
      <c r="G979">
        <f>ROUND(IF(D979&gt;0,0,ABS(D979)),2)</f>
        <v>0</v>
      </c>
      <c r="H979">
        <f>ROUND(IF(D979&gt;0,D979,),2)</f>
        <v>0</v>
      </c>
      <c r="K979" s="7"/>
      <c r="L979" s="9"/>
      <c r="M979" s="9"/>
      <c r="N979" s="7"/>
      <c r="P979" s="8"/>
      <c r="Q979" s="5"/>
      <c r="R979" s="5"/>
      <c r="AF979" s="14"/>
    </row>
    <row r="980" spans="1:32" customFormat="1" x14ac:dyDescent="0.25">
      <c r="A980" s="9"/>
      <c r="C980" s="14"/>
      <c r="E980" t="str">
        <f>IF(ISNA(VLOOKUP(C980,P:Q,2,0)),"",VLOOKUP(C980,P:Q,2,0))</f>
        <v/>
      </c>
      <c r="F980" s="15" t="str">
        <f>IF(ISNA(VLOOKUP(C980,P:R,3,0)),"",VLOOKUP(C980,P:R,3,0))</f>
        <v/>
      </c>
      <c r="G980">
        <f>ROUND(IF(D980&gt;0,0,ABS(D980)),2)</f>
        <v>0</v>
      </c>
      <c r="H980">
        <f>ROUND(IF(D980&gt;0,D980,),2)</f>
        <v>0</v>
      </c>
      <c r="K980" s="7"/>
      <c r="L980" s="9"/>
      <c r="M980" s="9"/>
      <c r="N980" s="7"/>
      <c r="P980" s="8"/>
      <c r="Q980" s="5"/>
      <c r="R980" s="5"/>
      <c r="AF980" s="14"/>
    </row>
    <row r="981" spans="1:32" customFormat="1" x14ac:dyDescent="0.25">
      <c r="A981" s="9"/>
      <c r="C981" s="14"/>
      <c r="E981" t="str">
        <f>IF(ISNA(VLOOKUP(C981,P:Q,2,0)),"",VLOOKUP(C981,P:Q,2,0))</f>
        <v/>
      </c>
      <c r="F981" s="15" t="str">
        <f>IF(ISNA(VLOOKUP(C981,P:R,3,0)),"",VLOOKUP(C981,P:R,3,0))</f>
        <v/>
      </c>
      <c r="G981">
        <f>ROUND(IF(D981&gt;0,0,ABS(D981)),2)</f>
        <v>0</v>
      </c>
      <c r="H981">
        <f>ROUND(IF(D981&gt;0,D981,),2)</f>
        <v>0</v>
      </c>
      <c r="K981" s="7"/>
      <c r="L981" s="9"/>
      <c r="M981" s="9"/>
      <c r="N981" s="7"/>
      <c r="P981" s="8"/>
      <c r="Q981" s="5"/>
      <c r="R981" s="5"/>
      <c r="AF981" s="14"/>
    </row>
    <row r="982" spans="1:32" customFormat="1" x14ac:dyDescent="0.25">
      <c r="A982" s="9"/>
      <c r="C982" s="14"/>
      <c r="E982" t="str">
        <f>IF(ISNA(VLOOKUP(C982,P:Q,2,0)),"",VLOOKUP(C982,P:Q,2,0))</f>
        <v/>
      </c>
      <c r="F982" s="15" t="str">
        <f>IF(ISNA(VLOOKUP(C982,P:R,3,0)),"",VLOOKUP(C982,P:R,3,0))</f>
        <v/>
      </c>
      <c r="G982">
        <f>ROUND(IF(D982&gt;0,0,ABS(D982)),2)</f>
        <v>0</v>
      </c>
      <c r="H982">
        <f>ROUND(IF(D982&gt;0,D982,),2)</f>
        <v>0</v>
      </c>
      <c r="K982" s="7"/>
      <c r="L982" s="9"/>
      <c r="M982" s="9"/>
      <c r="N982" s="7"/>
      <c r="P982" s="8"/>
      <c r="Q982" s="5"/>
      <c r="R982" s="5"/>
      <c r="AF982" s="14"/>
    </row>
    <row r="983" spans="1:32" customFormat="1" x14ac:dyDescent="0.25">
      <c r="A983" s="9"/>
      <c r="C983" s="14"/>
      <c r="E983" t="str">
        <f>IF(ISNA(VLOOKUP(C983,P:Q,2,0)),"",VLOOKUP(C983,P:Q,2,0))</f>
        <v/>
      </c>
      <c r="F983" s="15" t="str">
        <f>IF(ISNA(VLOOKUP(C983,P:R,3,0)),"",VLOOKUP(C983,P:R,3,0))</f>
        <v/>
      </c>
      <c r="G983">
        <f>ROUND(IF(D983&gt;0,0,ABS(D983)),2)</f>
        <v>0</v>
      </c>
      <c r="H983">
        <f>ROUND(IF(D983&gt;0,D983,),2)</f>
        <v>0</v>
      </c>
      <c r="K983" s="7"/>
      <c r="L983" s="9"/>
      <c r="M983" s="9"/>
      <c r="N983" s="7"/>
      <c r="P983" s="8"/>
      <c r="Q983" s="5"/>
      <c r="R983" s="5"/>
      <c r="AF983" s="14"/>
    </row>
    <row r="984" spans="1:32" customFormat="1" x14ac:dyDescent="0.25">
      <c r="A984" s="9"/>
      <c r="C984" s="14"/>
      <c r="E984" t="str">
        <f>IF(ISNA(VLOOKUP(C984,P:Q,2,0)),"",VLOOKUP(C984,P:Q,2,0))</f>
        <v/>
      </c>
      <c r="F984" s="15" t="str">
        <f>IF(ISNA(VLOOKUP(C984,P:R,3,0)),"",VLOOKUP(C984,P:R,3,0))</f>
        <v/>
      </c>
      <c r="G984">
        <f>ROUND(IF(D984&gt;0,0,ABS(D984)),2)</f>
        <v>0</v>
      </c>
      <c r="H984">
        <f>ROUND(IF(D984&gt;0,D984,),2)</f>
        <v>0</v>
      </c>
      <c r="K984" s="7"/>
      <c r="L984" s="9"/>
      <c r="M984" s="9"/>
      <c r="N984" s="7"/>
      <c r="P984" s="8"/>
      <c r="Q984" s="5"/>
      <c r="R984" s="5"/>
      <c r="AF984" s="14"/>
    </row>
    <row r="985" spans="1:32" customFormat="1" x14ac:dyDescent="0.25">
      <c r="A985" s="9"/>
      <c r="C985" s="14"/>
      <c r="E985" t="str">
        <f>IF(ISNA(VLOOKUP(C985,P:Q,2,0)),"",VLOOKUP(C985,P:Q,2,0))</f>
        <v/>
      </c>
      <c r="F985" s="15" t="str">
        <f>IF(ISNA(VLOOKUP(C985,P:R,3,0)),"",VLOOKUP(C985,P:R,3,0))</f>
        <v/>
      </c>
      <c r="G985">
        <f>ROUND(IF(D985&gt;0,0,ABS(D985)),2)</f>
        <v>0</v>
      </c>
      <c r="H985">
        <f>ROUND(IF(D985&gt;0,D985,),2)</f>
        <v>0</v>
      </c>
      <c r="K985" s="7"/>
      <c r="L985" s="9"/>
      <c r="M985" s="9"/>
      <c r="N985" s="7"/>
      <c r="P985" s="8"/>
      <c r="Q985" s="5"/>
      <c r="R985" s="5"/>
      <c r="AF985" s="14"/>
    </row>
    <row r="986" spans="1:32" customFormat="1" x14ac:dyDescent="0.25">
      <c r="A986" s="9"/>
      <c r="C986" s="14"/>
      <c r="E986" t="str">
        <f>IF(ISNA(VLOOKUP(C986,P:Q,2,0)),"",VLOOKUP(C986,P:Q,2,0))</f>
        <v/>
      </c>
      <c r="F986" s="15" t="str">
        <f>IF(ISNA(VLOOKUP(C986,P:R,3,0)),"",VLOOKUP(C986,P:R,3,0))</f>
        <v/>
      </c>
      <c r="G986">
        <f>ROUND(IF(D986&gt;0,0,ABS(D986)),2)</f>
        <v>0</v>
      </c>
      <c r="H986">
        <f>ROUND(IF(D986&gt;0,D986,),2)</f>
        <v>0</v>
      </c>
      <c r="K986" s="7"/>
      <c r="L986" s="9"/>
      <c r="M986" s="9"/>
      <c r="N986" s="7"/>
      <c r="P986" s="8"/>
      <c r="Q986" s="5"/>
      <c r="R986" s="5"/>
      <c r="AF986" s="14"/>
    </row>
    <row r="987" spans="1:32" customFormat="1" x14ac:dyDescent="0.25">
      <c r="A987" s="9"/>
      <c r="C987" s="14"/>
      <c r="E987" t="str">
        <f>IF(ISNA(VLOOKUP(C987,P:Q,2,0)),"",VLOOKUP(C987,P:Q,2,0))</f>
        <v/>
      </c>
      <c r="F987" s="15" t="str">
        <f>IF(ISNA(VLOOKUP(C987,P:R,3,0)),"",VLOOKUP(C987,P:R,3,0))</f>
        <v/>
      </c>
      <c r="G987">
        <f>ROUND(IF(D987&gt;0,0,ABS(D987)),2)</f>
        <v>0</v>
      </c>
      <c r="H987">
        <f>ROUND(IF(D987&gt;0,D987,),2)</f>
        <v>0</v>
      </c>
      <c r="K987" s="7"/>
      <c r="L987" s="9"/>
      <c r="M987" s="9"/>
      <c r="N987" s="7"/>
      <c r="P987" s="8"/>
      <c r="Q987" s="5"/>
      <c r="R987" s="5"/>
      <c r="AF987" s="14"/>
    </row>
    <row r="988" spans="1:32" customFormat="1" x14ac:dyDescent="0.25">
      <c r="A988" s="9"/>
      <c r="C988" s="14"/>
      <c r="E988" t="str">
        <f>IF(ISNA(VLOOKUP(C988,P:Q,2,0)),"",VLOOKUP(C988,P:Q,2,0))</f>
        <v/>
      </c>
      <c r="F988" s="15" t="str">
        <f>IF(ISNA(VLOOKUP(C988,P:R,3,0)),"",VLOOKUP(C988,P:R,3,0))</f>
        <v/>
      </c>
      <c r="G988">
        <f>ROUND(IF(D988&gt;0,0,ABS(D988)),2)</f>
        <v>0</v>
      </c>
      <c r="H988">
        <f>ROUND(IF(D988&gt;0,D988,),2)</f>
        <v>0</v>
      </c>
      <c r="K988" s="7"/>
      <c r="L988" s="9"/>
      <c r="M988" s="9"/>
      <c r="N988" s="7"/>
      <c r="P988" s="8"/>
      <c r="Q988" s="5"/>
      <c r="R988" s="5"/>
      <c r="AF988" s="14"/>
    </row>
    <row r="989" spans="1:32" customFormat="1" x14ac:dyDescent="0.25">
      <c r="A989" s="9"/>
      <c r="C989" s="14"/>
      <c r="E989" t="str">
        <f>IF(ISNA(VLOOKUP(C989,P:Q,2,0)),"",VLOOKUP(C989,P:Q,2,0))</f>
        <v/>
      </c>
      <c r="F989" s="15" t="str">
        <f>IF(ISNA(VLOOKUP(C989,P:R,3,0)),"",VLOOKUP(C989,P:R,3,0))</f>
        <v/>
      </c>
      <c r="G989">
        <f>ROUND(IF(D989&gt;0,0,ABS(D989)),2)</f>
        <v>0</v>
      </c>
      <c r="H989">
        <f>ROUND(IF(D989&gt;0,D989,),2)</f>
        <v>0</v>
      </c>
      <c r="K989" s="7"/>
      <c r="L989" s="9"/>
      <c r="M989" s="9"/>
      <c r="N989" s="7"/>
      <c r="P989" s="8"/>
      <c r="Q989" s="5"/>
      <c r="R989" s="5"/>
      <c r="AF989" s="14"/>
    </row>
    <row r="990" spans="1:32" customFormat="1" x14ac:dyDescent="0.25">
      <c r="A990" s="9"/>
      <c r="C990" s="14"/>
      <c r="E990" t="str">
        <f>IF(ISNA(VLOOKUP(C990,P:Q,2,0)),"",VLOOKUP(C990,P:Q,2,0))</f>
        <v/>
      </c>
      <c r="F990" s="15" t="str">
        <f>IF(ISNA(VLOOKUP(C990,P:R,3,0)),"",VLOOKUP(C990,P:R,3,0))</f>
        <v/>
      </c>
      <c r="G990">
        <f>ROUND(IF(D990&gt;0,0,ABS(D990)),2)</f>
        <v>0</v>
      </c>
      <c r="H990">
        <f>ROUND(IF(D990&gt;0,D990,),2)</f>
        <v>0</v>
      </c>
      <c r="K990" s="7"/>
      <c r="L990" s="9"/>
      <c r="M990" s="9"/>
      <c r="N990" s="7"/>
      <c r="P990" s="8"/>
      <c r="Q990" s="5"/>
      <c r="R990" s="5"/>
      <c r="AF990" s="14"/>
    </row>
    <row r="991" spans="1:32" customFormat="1" x14ac:dyDescent="0.25">
      <c r="A991" s="9"/>
      <c r="C991" s="14"/>
      <c r="E991" t="str">
        <f>IF(ISNA(VLOOKUP(C991,P:Q,2,0)),"",VLOOKUP(C991,P:Q,2,0))</f>
        <v/>
      </c>
      <c r="F991" s="15" t="str">
        <f>IF(ISNA(VLOOKUP(C991,P:R,3,0)),"",VLOOKUP(C991,P:R,3,0))</f>
        <v/>
      </c>
      <c r="G991">
        <f>ROUND(IF(D991&gt;0,0,ABS(D991)),2)</f>
        <v>0</v>
      </c>
      <c r="H991">
        <f>ROUND(IF(D991&gt;0,D991,),2)</f>
        <v>0</v>
      </c>
      <c r="K991" s="7"/>
      <c r="L991" s="9"/>
      <c r="M991" s="9"/>
      <c r="N991" s="7"/>
      <c r="P991" s="8"/>
      <c r="Q991" s="5"/>
      <c r="R991" s="5"/>
      <c r="AF991" s="14"/>
    </row>
    <row r="992" spans="1:32" customFormat="1" x14ac:dyDescent="0.25">
      <c r="A992" s="9"/>
      <c r="C992" s="14"/>
      <c r="E992" t="str">
        <f>IF(ISNA(VLOOKUP(C992,P:Q,2,0)),"",VLOOKUP(C992,P:Q,2,0))</f>
        <v/>
      </c>
      <c r="F992" s="15" t="str">
        <f>IF(ISNA(VLOOKUP(C992,P:R,3,0)),"",VLOOKUP(C992,P:R,3,0))</f>
        <v/>
      </c>
      <c r="G992">
        <f>ROUND(IF(D992&gt;0,0,ABS(D992)),2)</f>
        <v>0</v>
      </c>
      <c r="H992">
        <f>ROUND(IF(D992&gt;0,D992,),2)</f>
        <v>0</v>
      </c>
      <c r="K992" s="7"/>
      <c r="L992" s="9"/>
      <c r="M992" s="9"/>
      <c r="N992" s="7"/>
      <c r="P992" s="8"/>
      <c r="Q992" s="5"/>
      <c r="R992" s="5"/>
      <c r="AF992" s="14"/>
    </row>
    <row r="993" spans="1:32" customFormat="1" x14ac:dyDescent="0.25">
      <c r="A993" s="9"/>
      <c r="C993" s="14"/>
      <c r="E993" t="str">
        <f>IF(ISNA(VLOOKUP(C993,P:Q,2,0)),"",VLOOKUP(C993,P:Q,2,0))</f>
        <v/>
      </c>
      <c r="F993" s="15" t="str">
        <f>IF(ISNA(VLOOKUP(C993,P:R,3,0)),"",VLOOKUP(C993,P:R,3,0))</f>
        <v/>
      </c>
      <c r="G993">
        <f>ROUND(IF(D993&gt;0,0,ABS(D993)),2)</f>
        <v>0</v>
      </c>
      <c r="H993">
        <f>ROUND(IF(D993&gt;0,D993,),2)</f>
        <v>0</v>
      </c>
      <c r="K993" s="7"/>
      <c r="L993" s="9"/>
      <c r="M993" s="9"/>
      <c r="N993" s="7"/>
      <c r="P993" s="8"/>
      <c r="Q993" s="5"/>
      <c r="R993" s="5"/>
      <c r="AF993" s="14"/>
    </row>
    <row r="994" spans="1:32" customFormat="1" x14ac:dyDescent="0.25">
      <c r="A994" s="9"/>
      <c r="C994" s="14"/>
      <c r="E994" t="str">
        <f>IF(ISNA(VLOOKUP(C994,P:Q,2,0)),"",VLOOKUP(C994,P:Q,2,0))</f>
        <v/>
      </c>
      <c r="F994" s="15" t="str">
        <f>IF(ISNA(VLOOKUP(C994,P:R,3,0)),"",VLOOKUP(C994,P:R,3,0))</f>
        <v/>
      </c>
      <c r="G994">
        <f>ROUND(IF(D994&gt;0,0,ABS(D994)),2)</f>
        <v>0</v>
      </c>
      <c r="H994">
        <f>ROUND(IF(D994&gt;0,D994,),2)</f>
        <v>0</v>
      </c>
      <c r="K994" s="7"/>
      <c r="L994" s="9"/>
      <c r="M994" s="9"/>
      <c r="N994" s="7"/>
      <c r="P994" s="8"/>
      <c r="Q994" s="5"/>
      <c r="R994" s="5"/>
      <c r="AF994" s="14"/>
    </row>
    <row r="995" spans="1:32" customFormat="1" x14ac:dyDescent="0.25">
      <c r="A995" s="9"/>
      <c r="C995" s="14"/>
      <c r="E995" t="str">
        <f>IF(ISNA(VLOOKUP(C995,P:Q,2,0)),"",VLOOKUP(C995,P:Q,2,0))</f>
        <v/>
      </c>
      <c r="F995" s="15" t="str">
        <f>IF(ISNA(VLOOKUP(C995,P:R,3,0)),"",VLOOKUP(C995,P:R,3,0))</f>
        <v/>
      </c>
      <c r="G995">
        <f>ROUND(IF(D995&gt;0,0,ABS(D995)),2)</f>
        <v>0</v>
      </c>
      <c r="H995">
        <f>ROUND(IF(D995&gt;0,D995,),2)</f>
        <v>0</v>
      </c>
      <c r="K995" s="7"/>
      <c r="L995" s="9"/>
      <c r="M995" s="9"/>
      <c r="N995" s="7"/>
      <c r="P995" s="8"/>
      <c r="Q995" s="5"/>
      <c r="R995" s="5"/>
      <c r="AF995" s="14"/>
    </row>
    <row r="996" spans="1:32" customFormat="1" x14ac:dyDescent="0.25">
      <c r="A996" s="9"/>
      <c r="C996" s="14"/>
      <c r="E996" t="str">
        <f>IF(ISNA(VLOOKUP(C996,P:Q,2,0)),"",VLOOKUP(C996,P:Q,2,0))</f>
        <v/>
      </c>
      <c r="F996" s="15" t="str">
        <f>IF(ISNA(VLOOKUP(C996,P:R,3,0)),"",VLOOKUP(C996,P:R,3,0))</f>
        <v/>
      </c>
      <c r="G996">
        <f>ROUND(IF(D996&gt;0,0,ABS(D996)),2)</f>
        <v>0</v>
      </c>
      <c r="H996">
        <f>ROUND(IF(D996&gt;0,D996,),2)</f>
        <v>0</v>
      </c>
      <c r="K996" s="7"/>
      <c r="L996" s="9"/>
      <c r="M996" s="9"/>
      <c r="N996" s="7"/>
      <c r="P996" s="8"/>
      <c r="Q996" s="5"/>
      <c r="R996" s="5"/>
      <c r="AF996" s="14"/>
    </row>
    <row r="997" spans="1:32" customFormat="1" x14ac:dyDescent="0.25">
      <c r="A997" s="9"/>
      <c r="C997" s="14"/>
      <c r="E997" t="str">
        <f>IF(ISNA(VLOOKUP(C997,P:Q,2,0)),"",VLOOKUP(C997,P:Q,2,0))</f>
        <v/>
      </c>
      <c r="F997" s="15" t="str">
        <f>IF(ISNA(VLOOKUP(C997,P:R,3,0)),"",VLOOKUP(C997,P:R,3,0))</f>
        <v/>
      </c>
      <c r="G997">
        <f>ROUND(IF(D997&gt;0,0,ABS(D997)),2)</f>
        <v>0</v>
      </c>
      <c r="H997">
        <f>ROUND(IF(D997&gt;0,D997,),2)</f>
        <v>0</v>
      </c>
      <c r="K997" s="7"/>
      <c r="L997" s="9"/>
      <c r="M997" s="9"/>
      <c r="N997" s="7"/>
      <c r="P997" s="8"/>
      <c r="Q997" s="5"/>
      <c r="R997" s="5"/>
      <c r="AF997" s="14"/>
    </row>
    <row r="998" spans="1:32" customFormat="1" x14ac:dyDescent="0.25">
      <c r="A998" s="9"/>
      <c r="C998" s="14"/>
      <c r="E998" t="str">
        <f>IF(ISNA(VLOOKUP(C998,P:Q,2,0)),"",VLOOKUP(C998,P:Q,2,0))</f>
        <v/>
      </c>
      <c r="F998" s="15" t="str">
        <f>IF(ISNA(VLOOKUP(C998,P:R,3,0)),"",VLOOKUP(C998,P:R,3,0))</f>
        <v/>
      </c>
      <c r="G998">
        <f>ROUND(IF(D998&gt;0,0,ABS(D998)),2)</f>
        <v>0</v>
      </c>
      <c r="H998">
        <f>ROUND(IF(D998&gt;0,D998,),2)</f>
        <v>0</v>
      </c>
      <c r="K998" s="7"/>
      <c r="L998" s="9"/>
      <c r="M998" s="9"/>
      <c r="N998" s="7"/>
      <c r="P998" s="8"/>
      <c r="Q998" s="5"/>
      <c r="R998" s="5"/>
      <c r="AF998" s="14"/>
    </row>
    <row r="999" spans="1:32" customFormat="1" x14ac:dyDescent="0.25">
      <c r="A999" s="9"/>
      <c r="C999" s="14"/>
      <c r="E999" t="str">
        <f>IF(ISNA(VLOOKUP(C999,P:Q,2,0)),"",VLOOKUP(C999,P:Q,2,0))</f>
        <v/>
      </c>
      <c r="F999" s="15" t="str">
        <f>IF(ISNA(VLOOKUP(C999,P:R,3,0)),"",VLOOKUP(C999,P:R,3,0))</f>
        <v/>
      </c>
      <c r="G999">
        <f>ROUND(IF(D999&gt;0,0,ABS(D999)),2)</f>
        <v>0</v>
      </c>
      <c r="H999">
        <f>ROUND(IF(D999&gt;0,D999,),2)</f>
        <v>0</v>
      </c>
      <c r="K999" s="7"/>
      <c r="L999" s="9"/>
      <c r="M999" s="9"/>
      <c r="N999" s="7"/>
      <c r="P999" s="8"/>
      <c r="Q999" s="5"/>
      <c r="R999" s="5"/>
      <c r="AF999" s="14"/>
    </row>
    <row r="1000" spans="1:32" customFormat="1" x14ac:dyDescent="0.25">
      <c r="A1000" s="9"/>
      <c r="C1000" s="14"/>
      <c r="E1000" t="str">
        <f>IF(ISNA(VLOOKUP(C1000,P:Q,2,0)),"",VLOOKUP(C1000,P:Q,2,0))</f>
        <v/>
      </c>
      <c r="F1000" s="15" t="str">
        <f>IF(ISNA(VLOOKUP(C1000,P:R,3,0)),"",VLOOKUP(C1000,P:R,3,0))</f>
        <v/>
      </c>
      <c r="G1000">
        <f>ROUND(IF(D1000&gt;0,0,ABS(D1000)),2)</f>
        <v>0</v>
      </c>
      <c r="H1000">
        <f>ROUND(IF(D1000&gt;0,D1000,),2)</f>
        <v>0</v>
      </c>
      <c r="K1000" s="7"/>
      <c r="L1000" s="9"/>
      <c r="M1000" s="9"/>
      <c r="N1000" s="7"/>
      <c r="P1000" s="8"/>
      <c r="Q1000" s="5"/>
      <c r="R1000" s="5"/>
      <c r="AF1000" s="14"/>
    </row>
    <row r="1001" spans="1:32" customFormat="1" x14ac:dyDescent="0.25">
      <c r="A1001" s="9"/>
      <c r="C1001" s="14"/>
      <c r="E1001" t="str">
        <f>IF(ISNA(VLOOKUP(C1001,P:Q,2,0)),"",VLOOKUP(C1001,P:Q,2,0))</f>
        <v/>
      </c>
      <c r="F1001" s="15" t="str">
        <f>IF(ISNA(VLOOKUP(C1001,P:R,3,0)),"",VLOOKUP(C1001,P:R,3,0))</f>
        <v/>
      </c>
      <c r="G1001">
        <f>ROUND(IF(D1001&gt;0,0,ABS(D1001)),2)</f>
        <v>0</v>
      </c>
      <c r="H1001">
        <f>ROUND(IF(D1001&gt;0,D1001,),2)</f>
        <v>0</v>
      </c>
      <c r="K1001" s="7"/>
      <c r="L1001" s="9"/>
      <c r="M1001" s="9"/>
      <c r="N1001" s="7"/>
      <c r="P1001" s="8"/>
      <c r="Q1001" s="5"/>
      <c r="R1001" s="5"/>
      <c r="AF1001" s="14"/>
    </row>
    <row r="1002" spans="1:32" customFormat="1" x14ac:dyDescent="0.25">
      <c r="A1002" s="9"/>
      <c r="C1002" s="14"/>
      <c r="E1002" t="str">
        <f>IF(ISNA(VLOOKUP(C1002,P:Q,2,0)),"",VLOOKUP(C1002,P:Q,2,0))</f>
        <v/>
      </c>
      <c r="F1002" s="15" t="str">
        <f>IF(ISNA(VLOOKUP(C1002,P:R,3,0)),"",VLOOKUP(C1002,P:R,3,0))</f>
        <v/>
      </c>
      <c r="G1002">
        <f>ROUND(IF(D1002&gt;0,0,ABS(D1002)),2)</f>
        <v>0</v>
      </c>
      <c r="H1002">
        <f>ROUND(IF(D1002&gt;0,D1002,),2)</f>
        <v>0</v>
      </c>
      <c r="K1002" s="7"/>
      <c r="L1002" s="9"/>
      <c r="M1002" s="9"/>
      <c r="N1002" s="7"/>
      <c r="P1002" s="8"/>
      <c r="Q1002" s="5"/>
      <c r="R1002" s="5"/>
      <c r="AF1002" s="14"/>
    </row>
    <row r="1003" spans="1:32" customFormat="1" x14ac:dyDescent="0.25">
      <c r="A1003" s="9"/>
      <c r="C1003" s="14"/>
      <c r="E1003" t="str">
        <f>IF(ISNA(VLOOKUP(C1003,P:Q,2,0)),"",VLOOKUP(C1003,P:Q,2,0))</f>
        <v/>
      </c>
      <c r="F1003" s="15" t="str">
        <f>IF(ISNA(VLOOKUP(C1003,P:R,3,0)),"",VLOOKUP(C1003,P:R,3,0))</f>
        <v/>
      </c>
      <c r="G1003">
        <f>ROUND(IF(D1003&gt;0,0,ABS(D1003)),2)</f>
        <v>0</v>
      </c>
      <c r="H1003">
        <f>ROUND(IF(D1003&gt;0,D1003,),2)</f>
        <v>0</v>
      </c>
      <c r="K1003" s="7"/>
      <c r="L1003" s="9"/>
      <c r="M1003" s="9"/>
      <c r="N1003" s="7"/>
      <c r="P1003" s="8"/>
      <c r="Q1003" s="5"/>
      <c r="R1003" s="5"/>
      <c r="AF1003" s="14"/>
    </row>
    <row r="1004" spans="1:32" customFormat="1" x14ac:dyDescent="0.25">
      <c r="A1004" s="9"/>
      <c r="C1004" s="14"/>
      <c r="E1004" t="str">
        <f>IF(ISNA(VLOOKUP(C1004,P:Q,2,0)),"",VLOOKUP(C1004,P:Q,2,0))</f>
        <v/>
      </c>
      <c r="F1004" s="15" t="str">
        <f>IF(ISNA(VLOOKUP(C1004,P:R,3,0)),"",VLOOKUP(C1004,P:R,3,0))</f>
        <v/>
      </c>
      <c r="G1004">
        <f>ROUND(IF(D1004&gt;0,0,ABS(D1004)),2)</f>
        <v>0</v>
      </c>
      <c r="H1004">
        <f>ROUND(IF(D1004&gt;0,D1004,),2)</f>
        <v>0</v>
      </c>
      <c r="K1004" s="7"/>
      <c r="L1004" s="9"/>
      <c r="M1004" s="9"/>
      <c r="N1004" s="7"/>
      <c r="P1004" s="8"/>
      <c r="Q1004" s="5"/>
      <c r="R1004" s="5"/>
      <c r="AF1004" s="14"/>
    </row>
    <row r="1005" spans="1:32" customFormat="1" x14ac:dyDescent="0.25">
      <c r="A1005" s="9"/>
      <c r="C1005" s="14"/>
      <c r="E1005" t="str">
        <f>IF(ISNA(VLOOKUP(C1005,P:Q,2,0)),"",VLOOKUP(C1005,P:Q,2,0))</f>
        <v/>
      </c>
      <c r="F1005" s="15" t="str">
        <f>IF(ISNA(VLOOKUP(C1005,P:R,3,0)),"",VLOOKUP(C1005,P:R,3,0))</f>
        <v/>
      </c>
      <c r="G1005">
        <f>ROUND(IF(D1005&gt;0,0,ABS(D1005)),2)</f>
        <v>0</v>
      </c>
      <c r="H1005">
        <f>ROUND(IF(D1005&gt;0,D1005,),2)</f>
        <v>0</v>
      </c>
      <c r="K1005" s="7"/>
      <c r="L1005" s="9"/>
      <c r="M1005" s="9"/>
      <c r="N1005" s="7"/>
      <c r="P1005" s="8"/>
      <c r="Q1005" s="5"/>
      <c r="R1005" s="5"/>
      <c r="AF1005" s="14"/>
    </row>
    <row r="1006" spans="1:32" customFormat="1" x14ac:dyDescent="0.25">
      <c r="A1006" s="9"/>
      <c r="C1006" s="14"/>
      <c r="E1006" t="str">
        <f>IF(ISNA(VLOOKUP(C1006,P:Q,2,0)),"",VLOOKUP(C1006,P:Q,2,0))</f>
        <v/>
      </c>
      <c r="F1006" s="15" t="str">
        <f>IF(ISNA(VLOOKUP(C1006,P:R,3,0)),"",VLOOKUP(C1006,P:R,3,0))</f>
        <v/>
      </c>
      <c r="G1006">
        <f>ROUND(IF(D1006&gt;0,0,ABS(D1006)),2)</f>
        <v>0</v>
      </c>
      <c r="H1006">
        <f>ROUND(IF(D1006&gt;0,D1006,),2)</f>
        <v>0</v>
      </c>
      <c r="K1006" s="7"/>
      <c r="L1006" s="9"/>
      <c r="M1006" s="9"/>
      <c r="N1006" s="7"/>
      <c r="P1006" s="8"/>
      <c r="Q1006" s="5"/>
      <c r="R1006" s="5"/>
      <c r="AF1006" s="14"/>
    </row>
    <row r="1007" spans="1:32" customFormat="1" x14ac:dyDescent="0.25">
      <c r="A1007" s="9"/>
      <c r="C1007" s="14"/>
      <c r="E1007" t="str">
        <f>IF(ISNA(VLOOKUP(C1007,P:Q,2,0)),"",VLOOKUP(C1007,P:Q,2,0))</f>
        <v/>
      </c>
      <c r="F1007" s="15" t="str">
        <f>IF(ISNA(VLOOKUP(C1007,P:R,3,0)),"",VLOOKUP(C1007,P:R,3,0))</f>
        <v/>
      </c>
      <c r="G1007">
        <f>ROUND(IF(D1007&gt;0,0,ABS(D1007)),2)</f>
        <v>0</v>
      </c>
      <c r="H1007">
        <f>ROUND(IF(D1007&gt;0,D1007,),2)</f>
        <v>0</v>
      </c>
      <c r="K1007" s="7"/>
      <c r="L1007" s="9"/>
      <c r="M1007" s="9"/>
      <c r="N1007" s="7"/>
      <c r="P1007" s="8"/>
      <c r="Q1007" s="5"/>
      <c r="R1007" s="5"/>
      <c r="AF1007" s="14"/>
    </row>
    <row r="1008" spans="1:32" customFormat="1" x14ac:dyDescent="0.25">
      <c r="A1008" s="9"/>
      <c r="C1008" s="14"/>
      <c r="E1008" t="str">
        <f>IF(ISNA(VLOOKUP(C1008,P:Q,2,0)),"",VLOOKUP(C1008,P:Q,2,0))</f>
        <v/>
      </c>
      <c r="F1008" s="15" t="str">
        <f>IF(ISNA(VLOOKUP(C1008,P:R,3,0)),"",VLOOKUP(C1008,P:R,3,0))</f>
        <v/>
      </c>
      <c r="G1008">
        <f>ROUND(IF(D1008&gt;0,0,ABS(D1008)),2)</f>
        <v>0</v>
      </c>
      <c r="H1008">
        <f>ROUND(IF(D1008&gt;0,D1008,),2)</f>
        <v>0</v>
      </c>
      <c r="K1008" s="7"/>
      <c r="L1008" s="9"/>
      <c r="M1008" s="9"/>
      <c r="N1008" s="7"/>
      <c r="P1008" s="8"/>
      <c r="Q1008" s="5"/>
      <c r="R1008" s="5"/>
      <c r="AF1008" s="14"/>
    </row>
    <row r="1009" spans="1:32" customFormat="1" x14ac:dyDescent="0.25">
      <c r="A1009" s="9"/>
      <c r="C1009" s="14"/>
      <c r="E1009" t="str">
        <f>IF(ISNA(VLOOKUP(C1009,P:Q,2,0)),"",VLOOKUP(C1009,P:Q,2,0))</f>
        <v/>
      </c>
      <c r="F1009" s="15" t="str">
        <f>IF(ISNA(VLOOKUP(C1009,P:R,3,0)),"",VLOOKUP(C1009,P:R,3,0))</f>
        <v/>
      </c>
      <c r="G1009">
        <f>ROUND(IF(D1009&gt;0,0,ABS(D1009)),2)</f>
        <v>0</v>
      </c>
      <c r="H1009">
        <f>ROUND(IF(D1009&gt;0,D1009,),2)</f>
        <v>0</v>
      </c>
      <c r="K1009" s="7"/>
      <c r="L1009" s="9"/>
      <c r="M1009" s="9"/>
      <c r="N1009" s="7"/>
      <c r="P1009" s="8"/>
      <c r="Q1009" s="5"/>
      <c r="R1009" s="5"/>
      <c r="AF1009" s="14"/>
    </row>
    <row r="1010" spans="1:32" customFormat="1" x14ac:dyDescent="0.25">
      <c r="A1010" s="9"/>
      <c r="C1010" s="14"/>
      <c r="E1010" t="str">
        <f>IF(ISNA(VLOOKUP(C1010,P:Q,2,0)),"",VLOOKUP(C1010,P:Q,2,0))</f>
        <v/>
      </c>
      <c r="F1010" s="15" t="str">
        <f>IF(ISNA(VLOOKUP(C1010,P:R,3,0)),"",VLOOKUP(C1010,P:R,3,0))</f>
        <v/>
      </c>
      <c r="G1010">
        <f>ROUND(IF(D1010&gt;0,0,ABS(D1010)),2)</f>
        <v>0</v>
      </c>
      <c r="H1010">
        <f>ROUND(IF(D1010&gt;0,D1010,),2)</f>
        <v>0</v>
      </c>
      <c r="K1010" s="7"/>
      <c r="L1010" s="9"/>
      <c r="M1010" s="9"/>
      <c r="N1010" s="7"/>
      <c r="P1010" s="8"/>
      <c r="Q1010" s="5"/>
      <c r="R1010" s="5"/>
      <c r="AF1010" s="14"/>
    </row>
    <row r="1011" spans="1:32" customFormat="1" x14ac:dyDescent="0.25">
      <c r="A1011" s="9"/>
      <c r="C1011" s="14"/>
      <c r="E1011" t="str">
        <f>IF(ISNA(VLOOKUP(C1011,P:Q,2,0)),"",VLOOKUP(C1011,P:Q,2,0))</f>
        <v/>
      </c>
      <c r="F1011" s="15" t="str">
        <f>IF(ISNA(VLOOKUP(C1011,P:R,3,0)),"",VLOOKUP(C1011,P:R,3,0))</f>
        <v/>
      </c>
      <c r="G1011">
        <f>ROUND(IF(D1011&gt;0,0,ABS(D1011)),2)</f>
        <v>0</v>
      </c>
      <c r="H1011">
        <f>ROUND(IF(D1011&gt;0,D1011,),2)</f>
        <v>0</v>
      </c>
      <c r="K1011" s="7"/>
      <c r="L1011" s="9"/>
      <c r="M1011" s="9"/>
      <c r="N1011" s="7"/>
      <c r="P1011" s="8"/>
      <c r="Q1011" s="5"/>
      <c r="R1011" s="5"/>
      <c r="AF1011" s="14"/>
    </row>
    <row r="1012" spans="1:32" customFormat="1" x14ac:dyDescent="0.25">
      <c r="A1012" s="9"/>
      <c r="C1012" s="14"/>
      <c r="E1012" t="str">
        <f>IF(ISNA(VLOOKUP(C1012,P:Q,2,0)),"",VLOOKUP(C1012,P:Q,2,0))</f>
        <v/>
      </c>
      <c r="F1012" s="15" t="str">
        <f>IF(ISNA(VLOOKUP(C1012,P:R,3,0)),"",VLOOKUP(C1012,P:R,3,0))</f>
        <v/>
      </c>
      <c r="G1012">
        <f>ROUND(IF(D1012&gt;0,0,ABS(D1012)),2)</f>
        <v>0</v>
      </c>
      <c r="H1012">
        <f>ROUND(IF(D1012&gt;0,D1012,),2)</f>
        <v>0</v>
      </c>
      <c r="K1012" s="7"/>
      <c r="L1012" s="9"/>
      <c r="M1012" s="9"/>
      <c r="N1012" s="7"/>
      <c r="P1012" s="8"/>
      <c r="Q1012" s="5"/>
      <c r="R1012" s="5"/>
      <c r="AF1012" s="14"/>
    </row>
    <row r="1013" spans="1:32" customFormat="1" x14ac:dyDescent="0.25">
      <c r="A1013" s="9"/>
      <c r="C1013" s="14"/>
      <c r="E1013" t="str">
        <f>IF(ISNA(VLOOKUP(C1013,P:Q,2,0)),"",VLOOKUP(C1013,P:Q,2,0))</f>
        <v/>
      </c>
      <c r="F1013" s="15" t="str">
        <f>IF(ISNA(VLOOKUP(C1013,P:R,3,0)),"",VLOOKUP(C1013,P:R,3,0))</f>
        <v/>
      </c>
      <c r="G1013">
        <f>ROUND(IF(D1013&gt;0,0,ABS(D1013)),2)</f>
        <v>0</v>
      </c>
      <c r="H1013">
        <f>ROUND(IF(D1013&gt;0,D1013,),2)</f>
        <v>0</v>
      </c>
      <c r="K1013" s="7"/>
      <c r="L1013" s="9"/>
      <c r="M1013" s="9"/>
      <c r="N1013" s="7"/>
      <c r="P1013" s="8"/>
      <c r="Q1013" s="5"/>
      <c r="R1013" s="5"/>
      <c r="AF1013" s="14"/>
    </row>
    <row r="1014" spans="1:32" customFormat="1" x14ac:dyDescent="0.25">
      <c r="A1014" s="9"/>
      <c r="C1014" s="14"/>
      <c r="E1014" t="str">
        <f>IF(ISNA(VLOOKUP(C1014,P:Q,2,0)),"",VLOOKUP(C1014,P:Q,2,0))</f>
        <v/>
      </c>
      <c r="F1014" s="15" t="str">
        <f>IF(ISNA(VLOOKUP(C1014,P:R,3,0)),"",VLOOKUP(C1014,P:R,3,0))</f>
        <v/>
      </c>
      <c r="G1014">
        <f>ROUND(IF(D1014&gt;0,0,ABS(D1014)),2)</f>
        <v>0</v>
      </c>
      <c r="H1014">
        <f>ROUND(IF(D1014&gt;0,D1014,),2)</f>
        <v>0</v>
      </c>
      <c r="K1014" s="7"/>
      <c r="L1014" s="9"/>
      <c r="M1014" s="9"/>
      <c r="N1014" s="7"/>
      <c r="P1014" s="8"/>
      <c r="Q1014" s="5"/>
      <c r="R1014" s="5"/>
      <c r="AF1014" s="14"/>
    </row>
    <row r="1015" spans="1:32" customFormat="1" x14ac:dyDescent="0.25">
      <c r="A1015" s="9"/>
      <c r="C1015" s="14"/>
      <c r="E1015" t="str">
        <f>IF(ISNA(VLOOKUP(C1015,P:Q,2,0)),"",VLOOKUP(C1015,P:Q,2,0))</f>
        <v/>
      </c>
      <c r="F1015" s="15" t="str">
        <f>IF(ISNA(VLOOKUP(C1015,P:R,3,0)),"",VLOOKUP(C1015,P:R,3,0))</f>
        <v/>
      </c>
      <c r="G1015">
        <f>ROUND(IF(D1015&gt;0,0,ABS(D1015)),2)</f>
        <v>0</v>
      </c>
      <c r="H1015">
        <f>ROUND(IF(D1015&gt;0,D1015,),2)</f>
        <v>0</v>
      </c>
      <c r="K1015" s="7"/>
      <c r="L1015" s="9"/>
      <c r="M1015" s="9"/>
      <c r="N1015" s="7"/>
      <c r="P1015" s="8"/>
      <c r="Q1015" s="5"/>
      <c r="R1015" s="5"/>
      <c r="AF1015" s="14"/>
    </row>
    <row r="1016" spans="1:32" customFormat="1" x14ac:dyDescent="0.25">
      <c r="A1016" s="9"/>
      <c r="C1016" s="14"/>
      <c r="E1016" t="str">
        <f>IF(ISNA(VLOOKUP(C1016,P:Q,2,0)),"",VLOOKUP(C1016,P:Q,2,0))</f>
        <v/>
      </c>
      <c r="F1016" s="15" t="str">
        <f>IF(ISNA(VLOOKUP(C1016,P:R,3,0)),"",VLOOKUP(C1016,P:R,3,0))</f>
        <v/>
      </c>
      <c r="G1016">
        <f>ROUND(IF(D1016&gt;0,0,ABS(D1016)),2)</f>
        <v>0</v>
      </c>
      <c r="H1016">
        <f>ROUND(IF(D1016&gt;0,D1016,),2)</f>
        <v>0</v>
      </c>
      <c r="K1016" s="7"/>
      <c r="L1016" s="9"/>
      <c r="M1016" s="9"/>
      <c r="N1016" s="7"/>
      <c r="P1016" s="8"/>
      <c r="Q1016" s="5"/>
      <c r="R1016" s="5"/>
      <c r="AF1016" s="14"/>
    </row>
    <row r="1017" spans="1:32" customFormat="1" x14ac:dyDescent="0.25">
      <c r="A1017" s="9"/>
      <c r="C1017" s="14"/>
      <c r="E1017" t="str">
        <f>IF(ISNA(VLOOKUP(C1017,P:Q,2,0)),"",VLOOKUP(C1017,P:Q,2,0))</f>
        <v/>
      </c>
      <c r="F1017" s="15" t="str">
        <f>IF(ISNA(VLOOKUP(C1017,P:R,3,0)),"",VLOOKUP(C1017,P:R,3,0))</f>
        <v/>
      </c>
      <c r="G1017">
        <f>ROUND(IF(D1017&gt;0,0,ABS(D1017)),2)</f>
        <v>0</v>
      </c>
      <c r="H1017">
        <f>ROUND(IF(D1017&gt;0,D1017,),2)</f>
        <v>0</v>
      </c>
      <c r="K1017" s="7"/>
      <c r="L1017" s="9"/>
      <c r="M1017" s="9"/>
      <c r="N1017" s="7"/>
      <c r="P1017" s="8"/>
      <c r="Q1017" s="5"/>
      <c r="R1017" s="5"/>
      <c r="AF1017" s="14"/>
    </row>
    <row r="1018" spans="1:32" customFormat="1" x14ac:dyDescent="0.25">
      <c r="A1018" s="9"/>
      <c r="C1018" s="14"/>
      <c r="E1018" t="str">
        <f>IF(ISNA(VLOOKUP(C1018,P:Q,2,0)),"",VLOOKUP(C1018,P:Q,2,0))</f>
        <v/>
      </c>
      <c r="F1018" s="15" t="str">
        <f>IF(ISNA(VLOOKUP(C1018,P:R,3,0)),"",VLOOKUP(C1018,P:R,3,0))</f>
        <v/>
      </c>
      <c r="G1018">
        <f>ROUND(IF(D1018&gt;0,0,ABS(D1018)),2)</f>
        <v>0</v>
      </c>
      <c r="H1018">
        <f>ROUND(IF(D1018&gt;0,D1018,),2)</f>
        <v>0</v>
      </c>
      <c r="K1018" s="7"/>
      <c r="L1018" s="9"/>
      <c r="M1018" s="9"/>
      <c r="N1018" s="7"/>
      <c r="P1018" s="8"/>
      <c r="Q1018" s="5"/>
      <c r="R1018" s="5"/>
      <c r="AF1018" s="14"/>
    </row>
    <row r="1019" spans="1:32" customFormat="1" x14ac:dyDescent="0.25">
      <c r="A1019" s="9"/>
      <c r="C1019" s="14"/>
      <c r="E1019" t="str">
        <f>IF(ISNA(VLOOKUP(C1019,P:Q,2,0)),"",VLOOKUP(C1019,P:Q,2,0))</f>
        <v/>
      </c>
      <c r="F1019" s="15" t="str">
        <f>IF(ISNA(VLOOKUP(C1019,P:R,3,0)),"",VLOOKUP(C1019,P:R,3,0))</f>
        <v/>
      </c>
      <c r="G1019">
        <f>ROUND(IF(D1019&gt;0,0,ABS(D1019)),2)</f>
        <v>0</v>
      </c>
      <c r="H1019">
        <f>ROUND(IF(D1019&gt;0,D1019,),2)</f>
        <v>0</v>
      </c>
      <c r="K1019" s="7"/>
      <c r="L1019" s="9"/>
      <c r="M1019" s="9"/>
      <c r="N1019" s="7"/>
      <c r="P1019" s="8"/>
      <c r="Q1019" s="5"/>
      <c r="R1019" s="5"/>
      <c r="AF1019" s="14"/>
    </row>
    <row r="1020" spans="1:32" customFormat="1" x14ac:dyDescent="0.25">
      <c r="A1020" s="9"/>
      <c r="C1020" s="14"/>
      <c r="E1020" t="str">
        <f>IF(ISNA(VLOOKUP(C1020,P:Q,2,0)),"",VLOOKUP(C1020,P:Q,2,0))</f>
        <v/>
      </c>
      <c r="F1020" s="15" t="str">
        <f>IF(ISNA(VLOOKUP(C1020,P:R,3,0)),"",VLOOKUP(C1020,P:R,3,0))</f>
        <v/>
      </c>
      <c r="G1020">
        <f>ROUND(IF(D1020&gt;0,0,ABS(D1020)),2)</f>
        <v>0</v>
      </c>
      <c r="H1020">
        <f>ROUND(IF(D1020&gt;0,D1020,),2)</f>
        <v>0</v>
      </c>
      <c r="K1020" s="7"/>
      <c r="L1020" s="9"/>
      <c r="M1020" s="9"/>
      <c r="N1020" s="7"/>
      <c r="P1020" s="8"/>
      <c r="Q1020" s="5"/>
      <c r="R1020" s="5"/>
      <c r="AF1020" s="14"/>
    </row>
    <row r="1021" spans="1:32" customFormat="1" x14ac:dyDescent="0.25">
      <c r="A1021" s="9"/>
      <c r="C1021" s="14"/>
      <c r="E1021" t="str">
        <f>IF(ISNA(VLOOKUP(C1021,P:Q,2,0)),"",VLOOKUP(C1021,P:Q,2,0))</f>
        <v/>
      </c>
      <c r="F1021" s="15" t="str">
        <f>IF(ISNA(VLOOKUP(C1021,P:R,3,0)),"",VLOOKUP(C1021,P:R,3,0))</f>
        <v/>
      </c>
      <c r="G1021">
        <f>ROUND(IF(D1021&gt;0,0,ABS(D1021)),2)</f>
        <v>0</v>
      </c>
      <c r="H1021">
        <f>ROUND(IF(D1021&gt;0,D1021,),2)</f>
        <v>0</v>
      </c>
      <c r="K1021" s="7"/>
      <c r="L1021" s="9"/>
      <c r="M1021" s="9"/>
      <c r="N1021" s="7"/>
      <c r="P1021" s="8"/>
      <c r="Q1021" s="5"/>
      <c r="R1021" s="5"/>
      <c r="AF1021" s="14"/>
    </row>
    <row r="1022" spans="1:32" customFormat="1" x14ac:dyDescent="0.25">
      <c r="A1022" s="9"/>
      <c r="C1022" s="14"/>
      <c r="E1022" t="str">
        <f>IF(ISNA(VLOOKUP(C1022,P:Q,2,0)),"",VLOOKUP(C1022,P:Q,2,0))</f>
        <v/>
      </c>
      <c r="F1022" s="15" t="str">
        <f>IF(ISNA(VLOOKUP(C1022,P:R,3,0)),"",VLOOKUP(C1022,P:R,3,0))</f>
        <v/>
      </c>
      <c r="G1022">
        <f>ROUND(IF(D1022&gt;0,0,ABS(D1022)),2)</f>
        <v>0</v>
      </c>
      <c r="H1022">
        <f>ROUND(IF(D1022&gt;0,D1022,),2)</f>
        <v>0</v>
      </c>
      <c r="K1022" s="7"/>
      <c r="L1022" s="9"/>
      <c r="M1022" s="9"/>
      <c r="N1022" s="7"/>
      <c r="P1022" s="8"/>
      <c r="Q1022" s="5"/>
      <c r="R1022" s="5"/>
      <c r="AF1022" s="14"/>
    </row>
    <row r="1023" spans="1:32" customFormat="1" x14ac:dyDescent="0.25">
      <c r="A1023" s="9"/>
      <c r="C1023" s="14"/>
      <c r="E1023" t="str">
        <f>IF(ISNA(VLOOKUP(C1023,P:Q,2,0)),"",VLOOKUP(C1023,P:Q,2,0))</f>
        <v/>
      </c>
      <c r="F1023" s="15" t="str">
        <f>IF(ISNA(VLOOKUP(C1023,P:R,3,0)),"",VLOOKUP(C1023,P:R,3,0))</f>
        <v/>
      </c>
      <c r="G1023">
        <f>ROUND(IF(D1023&gt;0,0,ABS(D1023)),2)</f>
        <v>0</v>
      </c>
      <c r="H1023">
        <f>ROUND(IF(D1023&gt;0,D1023,),2)</f>
        <v>0</v>
      </c>
      <c r="K1023" s="7"/>
      <c r="L1023" s="9"/>
      <c r="M1023" s="9"/>
      <c r="N1023" s="7"/>
      <c r="P1023" s="8"/>
      <c r="Q1023" s="5"/>
      <c r="R1023" s="5"/>
      <c r="AF1023" s="14"/>
    </row>
    <row r="1024" spans="1:32" customFormat="1" x14ac:dyDescent="0.25">
      <c r="A1024" s="9"/>
      <c r="C1024" s="14"/>
      <c r="E1024" t="str">
        <f>IF(ISNA(VLOOKUP(C1024,P:Q,2,0)),"",VLOOKUP(C1024,P:Q,2,0))</f>
        <v/>
      </c>
      <c r="F1024" s="15" t="str">
        <f>IF(ISNA(VLOOKUP(C1024,P:R,3,0)),"",VLOOKUP(C1024,P:R,3,0))</f>
        <v/>
      </c>
      <c r="G1024">
        <f>ROUND(IF(D1024&gt;0,0,ABS(D1024)),2)</f>
        <v>0</v>
      </c>
      <c r="H1024">
        <f>ROUND(IF(D1024&gt;0,D1024,),2)</f>
        <v>0</v>
      </c>
      <c r="K1024" s="7"/>
      <c r="L1024" s="9"/>
      <c r="M1024" s="9"/>
      <c r="N1024" s="7"/>
      <c r="P1024" s="8"/>
      <c r="Q1024" s="5"/>
      <c r="R1024" s="5"/>
      <c r="AF1024" s="14"/>
    </row>
    <row r="1025" spans="1:32" customFormat="1" x14ac:dyDescent="0.25">
      <c r="A1025" s="9"/>
      <c r="C1025" s="14"/>
      <c r="E1025" t="str">
        <f>IF(ISNA(VLOOKUP(C1025,P:Q,2,0)),"",VLOOKUP(C1025,P:Q,2,0))</f>
        <v/>
      </c>
      <c r="F1025" s="15" t="str">
        <f>IF(ISNA(VLOOKUP(C1025,P:R,3,0)),"",VLOOKUP(C1025,P:R,3,0))</f>
        <v/>
      </c>
      <c r="G1025">
        <f>ROUND(IF(D1025&gt;0,0,ABS(D1025)),2)</f>
        <v>0</v>
      </c>
      <c r="H1025">
        <f>ROUND(IF(D1025&gt;0,D1025,),2)</f>
        <v>0</v>
      </c>
      <c r="K1025" s="7"/>
      <c r="L1025" s="9"/>
      <c r="M1025" s="9"/>
      <c r="N1025" s="7"/>
      <c r="P1025" s="8"/>
      <c r="Q1025" s="5"/>
      <c r="R1025" s="5"/>
      <c r="AF1025" s="14"/>
    </row>
    <row r="1026" spans="1:32" customFormat="1" x14ac:dyDescent="0.25">
      <c r="A1026" s="9"/>
      <c r="C1026" s="14"/>
      <c r="E1026" t="str">
        <f>IF(ISNA(VLOOKUP(C1026,P:Q,2,0)),"",VLOOKUP(C1026,P:Q,2,0))</f>
        <v/>
      </c>
      <c r="F1026" s="15" t="str">
        <f>IF(ISNA(VLOOKUP(C1026,P:R,3,0)),"",VLOOKUP(C1026,P:R,3,0))</f>
        <v/>
      </c>
      <c r="G1026">
        <f>ROUND(IF(D1026&gt;0,0,ABS(D1026)),2)</f>
        <v>0</v>
      </c>
      <c r="H1026">
        <f>ROUND(IF(D1026&gt;0,D1026,),2)</f>
        <v>0</v>
      </c>
      <c r="K1026" s="7"/>
      <c r="L1026" s="9"/>
      <c r="M1026" s="9"/>
      <c r="N1026" s="7"/>
      <c r="P1026" s="8"/>
      <c r="Q1026" s="5"/>
      <c r="R1026" s="5"/>
      <c r="AF1026" s="14"/>
    </row>
    <row r="1027" spans="1:32" customFormat="1" x14ac:dyDescent="0.25">
      <c r="A1027" s="9"/>
      <c r="C1027" s="14"/>
      <c r="E1027" t="str">
        <f>IF(ISNA(VLOOKUP(C1027,P:Q,2,0)),"",VLOOKUP(C1027,P:Q,2,0))</f>
        <v/>
      </c>
      <c r="F1027" s="15" t="str">
        <f>IF(ISNA(VLOOKUP(C1027,P:R,3,0)),"",VLOOKUP(C1027,P:R,3,0))</f>
        <v/>
      </c>
      <c r="G1027">
        <f>ROUND(IF(D1027&gt;0,0,ABS(D1027)),2)</f>
        <v>0</v>
      </c>
      <c r="H1027">
        <f>ROUND(IF(D1027&gt;0,D1027,),2)</f>
        <v>0</v>
      </c>
      <c r="K1027" s="7"/>
      <c r="L1027" s="9"/>
      <c r="M1027" s="9"/>
      <c r="N1027" s="7"/>
      <c r="P1027" s="8"/>
      <c r="Q1027" s="5"/>
      <c r="R1027" s="5"/>
      <c r="AF1027" s="14"/>
    </row>
    <row r="1028" spans="1:32" customFormat="1" x14ac:dyDescent="0.25">
      <c r="A1028" s="9"/>
      <c r="C1028" s="14"/>
      <c r="E1028" t="str">
        <f>IF(ISNA(VLOOKUP(C1028,P:Q,2,0)),"",VLOOKUP(C1028,P:Q,2,0))</f>
        <v/>
      </c>
      <c r="F1028" s="15" t="str">
        <f>IF(ISNA(VLOOKUP(C1028,P:R,3,0)),"",VLOOKUP(C1028,P:R,3,0))</f>
        <v/>
      </c>
      <c r="G1028">
        <f>ROUND(IF(D1028&gt;0,0,ABS(D1028)),2)</f>
        <v>0</v>
      </c>
      <c r="H1028">
        <f>ROUND(IF(D1028&gt;0,D1028,),2)</f>
        <v>0</v>
      </c>
      <c r="K1028" s="7"/>
      <c r="L1028" s="9"/>
      <c r="M1028" s="9"/>
      <c r="N1028" s="7"/>
      <c r="P1028" s="8"/>
      <c r="Q1028" s="5"/>
      <c r="R1028" s="5"/>
      <c r="AF1028" s="14"/>
    </row>
    <row r="1029" spans="1:32" customFormat="1" x14ac:dyDescent="0.25">
      <c r="A1029" s="9"/>
      <c r="C1029" s="14"/>
      <c r="E1029" t="str">
        <f>IF(ISNA(VLOOKUP(C1029,P:Q,2,0)),"",VLOOKUP(C1029,P:Q,2,0))</f>
        <v/>
      </c>
      <c r="F1029" s="15" t="str">
        <f>IF(ISNA(VLOOKUP(C1029,P:R,3,0)),"",VLOOKUP(C1029,P:R,3,0))</f>
        <v/>
      </c>
      <c r="G1029">
        <f>ROUND(IF(D1029&gt;0,0,ABS(D1029)),2)</f>
        <v>0</v>
      </c>
      <c r="H1029">
        <f>ROUND(IF(D1029&gt;0,D1029,),2)</f>
        <v>0</v>
      </c>
      <c r="K1029" s="7"/>
      <c r="L1029" s="9"/>
      <c r="M1029" s="9"/>
      <c r="N1029" s="7"/>
      <c r="P1029" s="8"/>
      <c r="Q1029" s="5"/>
      <c r="R1029" s="5"/>
      <c r="AF1029" s="14"/>
    </row>
    <row r="1030" spans="1:32" customFormat="1" x14ac:dyDescent="0.25">
      <c r="A1030" s="9"/>
      <c r="C1030" s="14"/>
      <c r="E1030" t="str">
        <f>IF(ISNA(VLOOKUP(C1030,P:Q,2,0)),"",VLOOKUP(C1030,P:Q,2,0))</f>
        <v/>
      </c>
      <c r="F1030" s="15" t="str">
        <f>IF(ISNA(VLOOKUP(C1030,P:R,3,0)),"",VLOOKUP(C1030,P:R,3,0))</f>
        <v/>
      </c>
      <c r="G1030">
        <f>ROUND(IF(D1030&gt;0,0,ABS(D1030)),2)</f>
        <v>0</v>
      </c>
      <c r="H1030">
        <f>ROUND(IF(D1030&gt;0,D1030,),2)</f>
        <v>0</v>
      </c>
      <c r="K1030" s="7"/>
      <c r="L1030" s="9"/>
      <c r="M1030" s="9"/>
      <c r="N1030" s="7"/>
      <c r="P1030" s="8"/>
      <c r="Q1030" s="5"/>
      <c r="R1030" s="5"/>
      <c r="AF1030" s="14"/>
    </row>
    <row r="1031" spans="1:32" customFormat="1" x14ac:dyDescent="0.25">
      <c r="A1031" s="9"/>
      <c r="C1031" s="14"/>
      <c r="E1031" t="str">
        <f>IF(ISNA(VLOOKUP(C1031,P:Q,2,0)),"",VLOOKUP(C1031,P:Q,2,0))</f>
        <v/>
      </c>
      <c r="F1031" s="15" t="str">
        <f>IF(ISNA(VLOOKUP(C1031,P:R,3,0)),"",VLOOKUP(C1031,P:R,3,0))</f>
        <v/>
      </c>
      <c r="G1031">
        <f>ROUND(IF(D1031&gt;0,0,ABS(D1031)),2)</f>
        <v>0</v>
      </c>
      <c r="H1031">
        <f>ROUND(IF(D1031&gt;0,D1031,),2)</f>
        <v>0</v>
      </c>
      <c r="K1031" s="7"/>
      <c r="L1031" s="9"/>
      <c r="M1031" s="9"/>
      <c r="N1031" s="7"/>
      <c r="P1031" s="8"/>
      <c r="Q1031" s="5"/>
      <c r="R1031" s="5"/>
      <c r="AF1031" s="14"/>
    </row>
    <row r="1032" spans="1:32" customFormat="1" x14ac:dyDescent="0.25">
      <c r="A1032" s="9"/>
      <c r="C1032" s="14"/>
      <c r="E1032" t="str">
        <f>IF(ISNA(VLOOKUP(C1032,P:Q,2,0)),"",VLOOKUP(C1032,P:Q,2,0))</f>
        <v/>
      </c>
      <c r="F1032" s="15" t="str">
        <f>IF(ISNA(VLOOKUP(C1032,P:R,3,0)),"",VLOOKUP(C1032,P:R,3,0))</f>
        <v/>
      </c>
      <c r="G1032">
        <f>ROUND(IF(D1032&gt;0,0,ABS(D1032)),2)</f>
        <v>0</v>
      </c>
      <c r="H1032">
        <f>ROUND(IF(D1032&gt;0,D1032,),2)</f>
        <v>0</v>
      </c>
      <c r="K1032" s="7"/>
      <c r="L1032" s="9"/>
      <c r="M1032" s="9"/>
      <c r="N1032" s="7"/>
      <c r="P1032" s="8"/>
      <c r="Q1032" s="5"/>
      <c r="R1032" s="5"/>
      <c r="AF1032" s="14"/>
    </row>
    <row r="1033" spans="1:32" customFormat="1" x14ac:dyDescent="0.25">
      <c r="A1033" s="9"/>
      <c r="C1033" s="14"/>
      <c r="E1033" t="str">
        <f>IF(ISNA(VLOOKUP(C1033,P:Q,2,0)),"",VLOOKUP(C1033,P:Q,2,0))</f>
        <v/>
      </c>
      <c r="F1033" s="15" t="str">
        <f>IF(ISNA(VLOOKUP(C1033,P:R,3,0)),"",VLOOKUP(C1033,P:R,3,0))</f>
        <v/>
      </c>
      <c r="G1033">
        <f>ROUND(IF(D1033&gt;0,0,ABS(D1033)),2)</f>
        <v>0</v>
      </c>
      <c r="H1033">
        <f>ROUND(IF(D1033&gt;0,D1033,),2)</f>
        <v>0</v>
      </c>
      <c r="K1033" s="7"/>
      <c r="L1033" s="9"/>
      <c r="M1033" s="9"/>
      <c r="N1033" s="7"/>
      <c r="P1033" s="8"/>
      <c r="Q1033" s="5"/>
      <c r="R1033" s="5"/>
      <c r="AF1033" s="14"/>
    </row>
    <row r="1034" spans="1:32" customFormat="1" x14ac:dyDescent="0.25">
      <c r="A1034" s="9"/>
      <c r="C1034" s="14"/>
      <c r="E1034" t="str">
        <f>IF(ISNA(VLOOKUP(C1034,P:Q,2,0)),"",VLOOKUP(C1034,P:Q,2,0))</f>
        <v/>
      </c>
      <c r="F1034" s="15" t="str">
        <f>IF(ISNA(VLOOKUP(C1034,P:R,3,0)),"",VLOOKUP(C1034,P:R,3,0))</f>
        <v/>
      </c>
      <c r="G1034">
        <f>ROUND(IF(D1034&gt;0,0,ABS(D1034)),2)</f>
        <v>0</v>
      </c>
      <c r="H1034">
        <f>ROUND(IF(D1034&gt;0,D1034,),2)</f>
        <v>0</v>
      </c>
      <c r="K1034" s="7"/>
      <c r="L1034" s="9"/>
      <c r="M1034" s="9"/>
      <c r="N1034" s="7"/>
      <c r="P1034" s="8"/>
      <c r="Q1034" s="5"/>
      <c r="R1034" s="5"/>
      <c r="AF1034" s="14"/>
    </row>
    <row r="1035" spans="1:32" customFormat="1" x14ac:dyDescent="0.25">
      <c r="A1035" s="9"/>
      <c r="C1035" s="14"/>
      <c r="E1035" t="str">
        <f>IF(ISNA(VLOOKUP(C1035,P:Q,2,0)),"",VLOOKUP(C1035,P:Q,2,0))</f>
        <v/>
      </c>
      <c r="F1035" s="15" t="str">
        <f>IF(ISNA(VLOOKUP(C1035,P:R,3,0)),"",VLOOKUP(C1035,P:R,3,0))</f>
        <v/>
      </c>
      <c r="G1035">
        <f>ROUND(IF(D1035&gt;0,0,ABS(D1035)),2)</f>
        <v>0</v>
      </c>
      <c r="H1035">
        <f>ROUND(IF(D1035&gt;0,D1035,),2)</f>
        <v>0</v>
      </c>
      <c r="K1035" s="7"/>
      <c r="L1035" s="9"/>
      <c r="M1035" s="9"/>
      <c r="N1035" s="7"/>
      <c r="P1035" s="8"/>
      <c r="Q1035" s="5"/>
      <c r="R1035" s="5"/>
      <c r="AF1035" s="14"/>
    </row>
    <row r="1036" spans="1:32" customFormat="1" x14ac:dyDescent="0.25">
      <c r="A1036" s="9"/>
      <c r="C1036" s="14"/>
      <c r="E1036" t="str">
        <f>IF(ISNA(VLOOKUP(C1036,P:Q,2,0)),"",VLOOKUP(C1036,P:Q,2,0))</f>
        <v/>
      </c>
      <c r="F1036" s="15" t="str">
        <f>IF(ISNA(VLOOKUP(C1036,P:R,3,0)),"",VLOOKUP(C1036,P:R,3,0))</f>
        <v/>
      </c>
      <c r="G1036">
        <f>ROUND(IF(D1036&gt;0,0,ABS(D1036)),2)</f>
        <v>0</v>
      </c>
      <c r="H1036">
        <f>ROUND(IF(D1036&gt;0,D1036,),2)</f>
        <v>0</v>
      </c>
      <c r="K1036" s="7"/>
      <c r="L1036" s="9"/>
      <c r="M1036" s="9"/>
      <c r="N1036" s="7"/>
      <c r="P1036" s="8"/>
      <c r="Q1036" s="5"/>
      <c r="R1036" s="5"/>
      <c r="AF1036" s="14"/>
    </row>
    <row r="1037" spans="1:32" customFormat="1" x14ac:dyDescent="0.25">
      <c r="A1037" s="9"/>
      <c r="C1037" s="14"/>
      <c r="E1037" t="str">
        <f>IF(ISNA(VLOOKUP(C1037,P:Q,2,0)),"",VLOOKUP(C1037,P:Q,2,0))</f>
        <v/>
      </c>
      <c r="F1037" s="15" t="str">
        <f>IF(ISNA(VLOOKUP(C1037,P:R,3,0)),"",VLOOKUP(C1037,P:R,3,0))</f>
        <v/>
      </c>
      <c r="G1037">
        <f>ROUND(IF(D1037&gt;0,0,ABS(D1037)),2)</f>
        <v>0</v>
      </c>
      <c r="H1037">
        <f>ROUND(IF(D1037&gt;0,D1037,),2)</f>
        <v>0</v>
      </c>
      <c r="K1037" s="7"/>
      <c r="L1037" s="9"/>
      <c r="M1037" s="9"/>
      <c r="N1037" s="7"/>
      <c r="P1037" s="8"/>
      <c r="Q1037" s="5"/>
      <c r="R1037" s="5"/>
      <c r="AF1037" s="14"/>
    </row>
    <row r="1038" spans="1:32" customFormat="1" x14ac:dyDescent="0.25">
      <c r="A1038" s="9"/>
      <c r="C1038" s="14"/>
      <c r="E1038" t="str">
        <f>IF(ISNA(VLOOKUP(C1038,P:Q,2,0)),"",VLOOKUP(C1038,P:Q,2,0))</f>
        <v/>
      </c>
      <c r="F1038" s="15" t="str">
        <f>IF(ISNA(VLOOKUP(C1038,P:R,3,0)),"",VLOOKUP(C1038,P:R,3,0))</f>
        <v/>
      </c>
      <c r="G1038">
        <f>ROUND(IF(D1038&gt;0,0,ABS(D1038)),2)</f>
        <v>0</v>
      </c>
      <c r="H1038">
        <f>ROUND(IF(D1038&gt;0,D1038,),2)</f>
        <v>0</v>
      </c>
      <c r="K1038" s="7"/>
      <c r="L1038" s="9"/>
      <c r="M1038" s="9"/>
      <c r="N1038" s="7"/>
      <c r="P1038" s="8"/>
      <c r="Q1038" s="5"/>
      <c r="R1038" s="5"/>
      <c r="AF1038" s="14"/>
    </row>
    <row r="1039" spans="1:32" customFormat="1" x14ac:dyDescent="0.25">
      <c r="A1039" s="9"/>
      <c r="C1039" s="14"/>
      <c r="E1039" t="str">
        <f>IF(ISNA(VLOOKUP(C1039,P:Q,2,0)),"",VLOOKUP(C1039,P:Q,2,0))</f>
        <v/>
      </c>
      <c r="F1039" s="15" t="str">
        <f>IF(ISNA(VLOOKUP(C1039,P:R,3,0)),"",VLOOKUP(C1039,P:R,3,0))</f>
        <v/>
      </c>
      <c r="G1039">
        <f>ROUND(IF(D1039&gt;0,0,ABS(D1039)),2)</f>
        <v>0</v>
      </c>
      <c r="H1039">
        <f>ROUND(IF(D1039&gt;0,D1039,),2)</f>
        <v>0</v>
      </c>
      <c r="K1039" s="7"/>
      <c r="L1039" s="9"/>
      <c r="M1039" s="9"/>
      <c r="N1039" s="7"/>
      <c r="P1039" s="8"/>
      <c r="Q1039" s="5"/>
      <c r="R1039" s="5"/>
      <c r="AF1039" s="14"/>
    </row>
    <row r="1040" spans="1:32" customFormat="1" x14ac:dyDescent="0.25">
      <c r="A1040" s="9"/>
      <c r="C1040" s="14"/>
      <c r="E1040" t="str">
        <f>IF(ISNA(VLOOKUP(C1040,P:Q,2,0)),"",VLOOKUP(C1040,P:Q,2,0))</f>
        <v/>
      </c>
      <c r="F1040" s="15" t="str">
        <f>IF(ISNA(VLOOKUP(C1040,P:R,3,0)),"",VLOOKUP(C1040,P:R,3,0))</f>
        <v/>
      </c>
      <c r="G1040">
        <f>ROUND(IF(D1040&gt;0,0,ABS(D1040)),2)</f>
        <v>0</v>
      </c>
      <c r="H1040">
        <f>ROUND(IF(D1040&gt;0,D1040,),2)</f>
        <v>0</v>
      </c>
      <c r="K1040" s="7"/>
      <c r="L1040" s="9"/>
      <c r="M1040" s="9"/>
      <c r="N1040" s="7"/>
      <c r="P1040" s="8"/>
      <c r="Q1040" s="5"/>
      <c r="R1040" s="5"/>
      <c r="AF1040" s="14"/>
    </row>
    <row r="1041" spans="1:32" customFormat="1" x14ac:dyDescent="0.25">
      <c r="A1041" s="9"/>
      <c r="C1041" s="14"/>
      <c r="E1041" t="str">
        <f>IF(ISNA(VLOOKUP(C1041,P:Q,2,0)),"",VLOOKUP(C1041,P:Q,2,0))</f>
        <v/>
      </c>
      <c r="F1041" s="15" t="str">
        <f>IF(ISNA(VLOOKUP(C1041,P:R,3,0)),"",VLOOKUP(C1041,P:R,3,0))</f>
        <v/>
      </c>
      <c r="G1041">
        <f>ROUND(IF(D1041&gt;0,0,ABS(D1041)),2)</f>
        <v>0</v>
      </c>
      <c r="H1041">
        <f>ROUND(IF(D1041&gt;0,D1041,),2)</f>
        <v>0</v>
      </c>
      <c r="K1041" s="7"/>
      <c r="L1041" s="9"/>
      <c r="M1041" s="9"/>
      <c r="N1041" s="7"/>
      <c r="P1041" s="8"/>
      <c r="Q1041" s="5"/>
      <c r="R1041" s="5"/>
      <c r="AF1041" s="14"/>
    </row>
    <row r="1042" spans="1:32" customFormat="1" x14ac:dyDescent="0.25">
      <c r="A1042" s="9"/>
      <c r="C1042" s="14"/>
      <c r="E1042" t="str">
        <f>IF(ISNA(VLOOKUP(C1042,P:Q,2,0)),"",VLOOKUP(C1042,P:Q,2,0))</f>
        <v/>
      </c>
      <c r="F1042" s="15" t="str">
        <f>IF(ISNA(VLOOKUP(C1042,P:R,3,0)),"",VLOOKUP(C1042,P:R,3,0))</f>
        <v/>
      </c>
      <c r="G1042">
        <f>ROUND(IF(D1042&gt;0,0,ABS(D1042)),2)</f>
        <v>0</v>
      </c>
      <c r="H1042">
        <f>ROUND(IF(D1042&gt;0,D1042,),2)</f>
        <v>0</v>
      </c>
      <c r="K1042" s="7"/>
      <c r="L1042" s="9"/>
      <c r="M1042" s="9"/>
      <c r="N1042" s="7"/>
      <c r="P1042" s="8"/>
      <c r="Q1042" s="5"/>
      <c r="R1042" s="5"/>
      <c r="AF1042" s="14"/>
    </row>
    <row r="1043" spans="1:32" customFormat="1" x14ac:dyDescent="0.25">
      <c r="A1043" s="9"/>
      <c r="C1043" s="14"/>
      <c r="E1043" t="str">
        <f>IF(ISNA(VLOOKUP(C1043,P:Q,2,0)),"",VLOOKUP(C1043,P:Q,2,0))</f>
        <v/>
      </c>
      <c r="F1043" s="15" t="str">
        <f>IF(ISNA(VLOOKUP(C1043,P:R,3,0)),"",VLOOKUP(C1043,P:R,3,0))</f>
        <v/>
      </c>
      <c r="G1043">
        <f>ROUND(IF(D1043&gt;0,0,ABS(D1043)),2)</f>
        <v>0</v>
      </c>
      <c r="H1043">
        <f>ROUND(IF(D1043&gt;0,D1043,),2)</f>
        <v>0</v>
      </c>
      <c r="K1043" s="7"/>
      <c r="L1043" s="9"/>
      <c r="M1043" s="9"/>
      <c r="N1043" s="7"/>
      <c r="P1043" s="8"/>
      <c r="Q1043" s="5"/>
      <c r="R1043" s="5"/>
      <c r="AF1043" s="14"/>
    </row>
    <row r="1044" spans="1:32" customFormat="1" x14ac:dyDescent="0.25">
      <c r="A1044" s="9"/>
      <c r="C1044" s="14"/>
      <c r="E1044" t="str">
        <f>IF(ISNA(VLOOKUP(C1044,P:Q,2,0)),"",VLOOKUP(C1044,P:Q,2,0))</f>
        <v/>
      </c>
      <c r="F1044" s="15" t="str">
        <f>IF(ISNA(VLOOKUP(C1044,P:R,3,0)),"",VLOOKUP(C1044,P:R,3,0))</f>
        <v/>
      </c>
      <c r="G1044">
        <f>ROUND(IF(D1044&gt;0,0,ABS(D1044)),2)</f>
        <v>0</v>
      </c>
      <c r="H1044">
        <f>ROUND(IF(D1044&gt;0,D1044,),2)</f>
        <v>0</v>
      </c>
      <c r="K1044" s="7"/>
      <c r="L1044" s="9"/>
      <c r="M1044" s="9"/>
      <c r="N1044" s="7"/>
      <c r="P1044" s="8"/>
      <c r="Q1044" s="5"/>
      <c r="R1044" s="5"/>
      <c r="AF1044" s="14"/>
    </row>
    <row r="1045" spans="1:32" customFormat="1" x14ac:dyDescent="0.25">
      <c r="A1045" s="9"/>
      <c r="C1045" s="14"/>
      <c r="E1045" t="str">
        <f>IF(ISNA(VLOOKUP(C1045,P:Q,2,0)),"",VLOOKUP(C1045,P:Q,2,0))</f>
        <v/>
      </c>
      <c r="F1045" s="15" t="str">
        <f>IF(ISNA(VLOOKUP(C1045,P:R,3,0)),"",VLOOKUP(C1045,P:R,3,0))</f>
        <v/>
      </c>
      <c r="G1045">
        <f>ROUND(IF(D1045&gt;0,0,ABS(D1045)),2)</f>
        <v>0</v>
      </c>
      <c r="H1045">
        <f>ROUND(IF(D1045&gt;0,D1045,),2)</f>
        <v>0</v>
      </c>
      <c r="K1045" s="7"/>
      <c r="L1045" s="9"/>
      <c r="M1045" s="9"/>
      <c r="N1045" s="7"/>
      <c r="P1045" s="8"/>
      <c r="Q1045" s="5"/>
      <c r="R1045" s="5"/>
      <c r="AF1045" s="14"/>
    </row>
    <row r="1046" spans="1:32" customFormat="1" x14ac:dyDescent="0.25">
      <c r="A1046" s="9"/>
      <c r="C1046" s="14"/>
      <c r="E1046" t="str">
        <f>IF(ISNA(VLOOKUP(C1046,P:Q,2,0)),"",VLOOKUP(C1046,P:Q,2,0))</f>
        <v/>
      </c>
      <c r="F1046" s="15" t="str">
        <f>IF(ISNA(VLOOKUP(C1046,P:R,3,0)),"",VLOOKUP(C1046,P:R,3,0))</f>
        <v/>
      </c>
      <c r="G1046">
        <f>ROUND(IF(D1046&gt;0,0,ABS(D1046)),2)</f>
        <v>0</v>
      </c>
      <c r="H1046">
        <f>ROUND(IF(D1046&gt;0,D1046,),2)</f>
        <v>0</v>
      </c>
      <c r="K1046" s="7"/>
      <c r="L1046" s="9"/>
      <c r="M1046" s="9"/>
      <c r="N1046" s="7"/>
      <c r="P1046" s="8"/>
      <c r="Q1046" s="5"/>
      <c r="R1046" s="5"/>
      <c r="AF1046" s="14"/>
    </row>
    <row r="1047" spans="1:32" customFormat="1" x14ac:dyDescent="0.25">
      <c r="A1047" s="9"/>
      <c r="C1047" s="14"/>
      <c r="E1047" t="str">
        <f>IF(ISNA(VLOOKUP(C1047,P:Q,2,0)),"",VLOOKUP(C1047,P:Q,2,0))</f>
        <v/>
      </c>
      <c r="F1047" s="15" t="str">
        <f>IF(ISNA(VLOOKUP(C1047,P:R,3,0)),"",VLOOKUP(C1047,P:R,3,0))</f>
        <v/>
      </c>
      <c r="G1047">
        <f>ROUND(IF(D1047&gt;0,0,ABS(D1047)),2)</f>
        <v>0</v>
      </c>
      <c r="H1047">
        <f>ROUND(IF(D1047&gt;0,D1047,),2)</f>
        <v>0</v>
      </c>
      <c r="K1047" s="7"/>
      <c r="L1047" s="9"/>
      <c r="M1047" s="9"/>
      <c r="N1047" s="7"/>
      <c r="P1047" s="8"/>
      <c r="Q1047" s="5"/>
      <c r="R1047" s="5"/>
      <c r="AF1047" s="14"/>
    </row>
    <row r="1048" spans="1:32" customFormat="1" x14ac:dyDescent="0.25">
      <c r="A1048" s="9"/>
      <c r="C1048" s="14"/>
      <c r="E1048" t="str">
        <f>IF(ISNA(VLOOKUP(C1048,P:Q,2,0)),"",VLOOKUP(C1048,P:Q,2,0))</f>
        <v/>
      </c>
      <c r="F1048" s="15" t="str">
        <f>IF(ISNA(VLOOKUP(C1048,P:R,3,0)),"",VLOOKUP(C1048,P:R,3,0))</f>
        <v/>
      </c>
      <c r="G1048">
        <f>ROUND(IF(D1048&gt;0,0,ABS(D1048)),2)</f>
        <v>0</v>
      </c>
      <c r="H1048">
        <f>ROUND(IF(D1048&gt;0,D1048,),2)</f>
        <v>0</v>
      </c>
      <c r="K1048" s="7"/>
      <c r="L1048" s="9"/>
      <c r="M1048" s="9"/>
      <c r="N1048" s="7"/>
      <c r="P1048" s="8"/>
      <c r="Q1048" s="5"/>
      <c r="R1048" s="5"/>
      <c r="AF1048" s="14"/>
    </row>
    <row r="1049" spans="1:32" customFormat="1" x14ac:dyDescent="0.25">
      <c r="A1049" s="9"/>
      <c r="C1049" s="14"/>
      <c r="E1049" t="str">
        <f>IF(ISNA(VLOOKUP(C1049,P:Q,2,0)),"",VLOOKUP(C1049,P:Q,2,0))</f>
        <v/>
      </c>
      <c r="F1049" s="15" t="str">
        <f>IF(ISNA(VLOOKUP(C1049,P:R,3,0)),"",VLOOKUP(C1049,P:R,3,0))</f>
        <v/>
      </c>
      <c r="G1049">
        <f>ROUND(IF(D1049&gt;0,0,ABS(D1049)),2)</f>
        <v>0</v>
      </c>
      <c r="H1049">
        <f>ROUND(IF(D1049&gt;0,D1049,),2)</f>
        <v>0</v>
      </c>
      <c r="K1049" s="7"/>
      <c r="L1049" s="9"/>
      <c r="M1049" s="9"/>
      <c r="N1049" s="7"/>
      <c r="P1049" s="8"/>
      <c r="Q1049" s="5"/>
      <c r="R1049" s="5"/>
      <c r="AF1049" s="14"/>
    </row>
    <row r="1050" spans="1:32" customFormat="1" x14ac:dyDescent="0.25">
      <c r="A1050" s="9"/>
      <c r="C1050" s="14"/>
      <c r="E1050" t="str">
        <f>IF(ISNA(VLOOKUP(C1050,P:Q,2,0)),"",VLOOKUP(C1050,P:Q,2,0))</f>
        <v/>
      </c>
      <c r="F1050" s="15" t="str">
        <f>IF(ISNA(VLOOKUP(C1050,P:R,3,0)),"",VLOOKUP(C1050,P:R,3,0))</f>
        <v/>
      </c>
      <c r="G1050">
        <f>ROUND(IF(D1050&gt;0,0,ABS(D1050)),2)</f>
        <v>0</v>
      </c>
      <c r="H1050">
        <f>ROUND(IF(D1050&gt;0,D1050,),2)</f>
        <v>0</v>
      </c>
      <c r="K1050" s="7"/>
      <c r="L1050" s="9"/>
      <c r="M1050" s="9"/>
      <c r="N1050" s="7"/>
      <c r="P1050" s="8"/>
      <c r="Q1050" s="5"/>
      <c r="R1050" s="5"/>
      <c r="AF1050" s="14"/>
    </row>
    <row r="1051" spans="1:32" customFormat="1" x14ac:dyDescent="0.25">
      <c r="A1051" s="9"/>
      <c r="C1051" s="14"/>
      <c r="E1051" t="str">
        <f>IF(ISNA(VLOOKUP(C1051,P:Q,2,0)),"",VLOOKUP(C1051,P:Q,2,0))</f>
        <v/>
      </c>
      <c r="F1051" s="15" t="str">
        <f>IF(ISNA(VLOOKUP(C1051,P:R,3,0)),"",VLOOKUP(C1051,P:R,3,0))</f>
        <v/>
      </c>
      <c r="G1051">
        <f>ROUND(IF(D1051&gt;0,0,ABS(D1051)),2)</f>
        <v>0</v>
      </c>
      <c r="H1051">
        <f>ROUND(IF(D1051&gt;0,D1051,),2)</f>
        <v>0</v>
      </c>
      <c r="K1051" s="7"/>
      <c r="L1051" s="9"/>
      <c r="M1051" s="9"/>
      <c r="N1051" s="7"/>
      <c r="P1051" s="8"/>
      <c r="Q1051" s="5"/>
      <c r="R1051" s="5"/>
      <c r="AF1051" s="14"/>
    </row>
    <row r="1052" spans="1:32" customFormat="1" x14ac:dyDescent="0.25">
      <c r="A1052" s="9"/>
      <c r="C1052" s="14"/>
      <c r="E1052" t="str">
        <f>IF(ISNA(VLOOKUP(C1052,P:Q,2,0)),"",VLOOKUP(C1052,P:Q,2,0))</f>
        <v/>
      </c>
      <c r="F1052" s="15" t="str">
        <f>IF(ISNA(VLOOKUP(C1052,P:R,3,0)),"",VLOOKUP(C1052,P:R,3,0))</f>
        <v/>
      </c>
      <c r="G1052">
        <f>ROUND(IF(D1052&gt;0,0,ABS(D1052)),2)</f>
        <v>0</v>
      </c>
      <c r="H1052">
        <f>ROUND(IF(D1052&gt;0,D1052,),2)</f>
        <v>0</v>
      </c>
      <c r="K1052" s="7"/>
      <c r="L1052" s="9"/>
      <c r="M1052" s="9"/>
      <c r="N1052" s="7"/>
      <c r="P1052" s="8"/>
      <c r="Q1052" s="5"/>
      <c r="R1052" s="5"/>
      <c r="AF1052" s="14"/>
    </row>
    <row r="1053" spans="1:32" customFormat="1" x14ac:dyDescent="0.25">
      <c r="A1053" s="9"/>
      <c r="C1053" s="14"/>
      <c r="E1053" t="str">
        <f>IF(ISNA(VLOOKUP(C1053,P:Q,2,0)),"",VLOOKUP(C1053,P:Q,2,0))</f>
        <v/>
      </c>
      <c r="F1053" s="15" t="str">
        <f>IF(ISNA(VLOOKUP(C1053,P:R,3,0)),"",VLOOKUP(C1053,P:R,3,0))</f>
        <v/>
      </c>
      <c r="G1053">
        <f>ROUND(IF(D1053&gt;0,0,ABS(D1053)),2)</f>
        <v>0</v>
      </c>
      <c r="H1053">
        <f>ROUND(IF(D1053&gt;0,D1053,),2)</f>
        <v>0</v>
      </c>
      <c r="K1053" s="7"/>
      <c r="L1053" s="9"/>
      <c r="M1053" s="9"/>
      <c r="N1053" s="7"/>
      <c r="P1053" s="8"/>
      <c r="Q1053" s="5"/>
      <c r="R1053" s="5"/>
      <c r="AF1053" s="14"/>
    </row>
    <row r="1054" spans="1:32" customFormat="1" x14ac:dyDescent="0.25">
      <c r="A1054" s="9"/>
      <c r="C1054" s="14"/>
      <c r="E1054" t="str">
        <f>IF(ISNA(VLOOKUP(C1054,P:Q,2,0)),"",VLOOKUP(C1054,P:Q,2,0))</f>
        <v/>
      </c>
      <c r="F1054" s="15" t="str">
        <f>IF(ISNA(VLOOKUP(C1054,P:R,3,0)),"",VLOOKUP(C1054,P:R,3,0))</f>
        <v/>
      </c>
      <c r="G1054">
        <f>ROUND(IF(D1054&gt;0,0,ABS(D1054)),2)</f>
        <v>0</v>
      </c>
      <c r="H1054">
        <f>ROUND(IF(D1054&gt;0,D1054,),2)</f>
        <v>0</v>
      </c>
      <c r="K1054" s="7"/>
      <c r="L1054" s="9"/>
      <c r="M1054" s="9"/>
      <c r="N1054" s="7"/>
      <c r="P1054" s="8"/>
      <c r="Q1054" s="5"/>
      <c r="R1054" s="5"/>
      <c r="AF1054" s="14"/>
    </row>
    <row r="1055" spans="1:32" customFormat="1" x14ac:dyDescent="0.25">
      <c r="A1055" s="9"/>
      <c r="C1055" s="14"/>
      <c r="E1055" t="str">
        <f>IF(ISNA(VLOOKUP(C1055,P:Q,2,0)),"",VLOOKUP(C1055,P:Q,2,0))</f>
        <v/>
      </c>
      <c r="F1055" s="15" t="str">
        <f>IF(ISNA(VLOOKUP(C1055,P:R,3,0)),"",VLOOKUP(C1055,P:R,3,0))</f>
        <v/>
      </c>
      <c r="G1055">
        <f>ROUND(IF(D1055&gt;0,0,ABS(D1055)),2)</f>
        <v>0</v>
      </c>
      <c r="H1055">
        <f>ROUND(IF(D1055&gt;0,D1055,),2)</f>
        <v>0</v>
      </c>
      <c r="K1055" s="7"/>
      <c r="L1055" s="9"/>
      <c r="M1055" s="9"/>
      <c r="N1055" s="7"/>
      <c r="P1055" s="8"/>
      <c r="Q1055" s="5"/>
      <c r="R1055" s="5"/>
      <c r="AF1055" s="14"/>
    </row>
    <row r="1056" spans="1:32" customFormat="1" x14ac:dyDescent="0.25">
      <c r="A1056" s="9"/>
      <c r="C1056" s="14"/>
      <c r="E1056" t="str">
        <f>IF(ISNA(VLOOKUP(C1056,P:Q,2,0)),"",VLOOKUP(C1056,P:Q,2,0))</f>
        <v/>
      </c>
      <c r="F1056" s="15" t="str">
        <f>IF(ISNA(VLOOKUP(C1056,P:R,3,0)),"",VLOOKUP(C1056,P:R,3,0))</f>
        <v/>
      </c>
      <c r="G1056">
        <f>ROUND(IF(D1056&gt;0,0,ABS(D1056)),2)</f>
        <v>0</v>
      </c>
      <c r="H1056">
        <f>ROUND(IF(D1056&gt;0,D1056,),2)</f>
        <v>0</v>
      </c>
      <c r="K1056" s="7"/>
      <c r="L1056" s="9"/>
      <c r="M1056" s="9"/>
      <c r="N1056" s="7"/>
      <c r="P1056" s="8"/>
      <c r="Q1056" s="5"/>
      <c r="R1056" s="5"/>
      <c r="AF1056" s="14"/>
    </row>
    <row r="1057" spans="1:32" customFormat="1" x14ac:dyDescent="0.25">
      <c r="A1057" s="9"/>
      <c r="C1057" s="14"/>
      <c r="E1057" t="str">
        <f>IF(ISNA(VLOOKUP(C1057,P:Q,2,0)),"",VLOOKUP(C1057,P:Q,2,0))</f>
        <v/>
      </c>
      <c r="F1057" s="15" t="str">
        <f>IF(ISNA(VLOOKUP(C1057,P:R,3,0)),"",VLOOKUP(C1057,P:R,3,0))</f>
        <v/>
      </c>
      <c r="G1057">
        <f>ROUND(IF(D1057&gt;0,0,ABS(D1057)),2)</f>
        <v>0</v>
      </c>
      <c r="H1057">
        <f>ROUND(IF(D1057&gt;0,D1057,),2)</f>
        <v>0</v>
      </c>
      <c r="K1057" s="7"/>
      <c r="L1057" s="9"/>
      <c r="M1057" s="9"/>
      <c r="N1057" s="7"/>
      <c r="P1057" s="8"/>
      <c r="Q1057" s="5"/>
      <c r="R1057" s="5"/>
      <c r="AF1057" s="14"/>
    </row>
    <row r="1058" spans="1:32" customFormat="1" x14ac:dyDescent="0.25">
      <c r="A1058" s="9"/>
      <c r="C1058" s="14"/>
      <c r="E1058" t="str">
        <f>IF(ISNA(VLOOKUP(C1058,P:Q,2,0)),"",VLOOKUP(C1058,P:Q,2,0))</f>
        <v/>
      </c>
      <c r="F1058" s="15" t="str">
        <f>IF(ISNA(VLOOKUP(C1058,P:R,3,0)),"",VLOOKUP(C1058,P:R,3,0))</f>
        <v/>
      </c>
      <c r="G1058">
        <f>ROUND(IF(D1058&gt;0,0,ABS(D1058)),2)</f>
        <v>0</v>
      </c>
      <c r="H1058">
        <f>ROUND(IF(D1058&gt;0,D1058,),2)</f>
        <v>0</v>
      </c>
      <c r="K1058" s="7"/>
      <c r="L1058" s="9"/>
      <c r="M1058" s="9"/>
      <c r="N1058" s="7"/>
      <c r="P1058" s="8"/>
      <c r="Q1058" s="5"/>
      <c r="R1058" s="5"/>
      <c r="AF1058" s="14"/>
    </row>
    <row r="1059" spans="1:32" customFormat="1" x14ac:dyDescent="0.25">
      <c r="A1059" s="9"/>
      <c r="C1059" s="14"/>
      <c r="E1059" t="str">
        <f>IF(ISNA(VLOOKUP(C1059,P:Q,2,0)),"",VLOOKUP(C1059,P:Q,2,0))</f>
        <v/>
      </c>
      <c r="F1059" s="15" t="str">
        <f>IF(ISNA(VLOOKUP(C1059,P:R,3,0)),"",VLOOKUP(C1059,P:R,3,0))</f>
        <v/>
      </c>
      <c r="G1059">
        <f>ROUND(IF(D1059&gt;0,0,ABS(D1059)),2)</f>
        <v>0</v>
      </c>
      <c r="H1059">
        <f>ROUND(IF(D1059&gt;0,D1059,),2)</f>
        <v>0</v>
      </c>
      <c r="K1059" s="7"/>
      <c r="L1059" s="9"/>
      <c r="M1059" s="9"/>
      <c r="N1059" s="7"/>
      <c r="P1059" s="8"/>
      <c r="Q1059" s="5"/>
      <c r="R1059" s="5"/>
      <c r="AF1059" s="14"/>
    </row>
    <row r="1060" spans="1:32" customFormat="1" x14ac:dyDescent="0.25">
      <c r="A1060" s="9"/>
      <c r="C1060" s="14"/>
      <c r="E1060" t="str">
        <f>IF(ISNA(VLOOKUP(C1060,P:Q,2,0)),"",VLOOKUP(C1060,P:Q,2,0))</f>
        <v/>
      </c>
      <c r="F1060" s="15" t="str">
        <f>IF(ISNA(VLOOKUP(C1060,P:R,3,0)),"",VLOOKUP(C1060,P:R,3,0))</f>
        <v/>
      </c>
      <c r="G1060">
        <f>ROUND(IF(D1060&gt;0,0,ABS(D1060)),2)</f>
        <v>0</v>
      </c>
      <c r="H1060">
        <f>ROUND(IF(D1060&gt;0,D1060,),2)</f>
        <v>0</v>
      </c>
      <c r="K1060" s="7"/>
      <c r="L1060" s="9"/>
      <c r="M1060" s="9"/>
      <c r="N1060" s="7"/>
      <c r="P1060" s="8"/>
      <c r="Q1060" s="5"/>
      <c r="R1060" s="5"/>
      <c r="AF1060" s="14"/>
    </row>
    <row r="1061" spans="1:32" customFormat="1" x14ac:dyDescent="0.25">
      <c r="A1061" s="9"/>
      <c r="C1061" s="14"/>
      <c r="E1061" t="str">
        <f>IF(ISNA(VLOOKUP(C1061,P:Q,2,0)),"",VLOOKUP(C1061,P:Q,2,0))</f>
        <v/>
      </c>
      <c r="F1061" s="15" t="str">
        <f>IF(ISNA(VLOOKUP(C1061,P:R,3,0)),"",VLOOKUP(C1061,P:R,3,0))</f>
        <v/>
      </c>
      <c r="G1061">
        <f>ROUND(IF(D1061&gt;0,0,ABS(D1061)),2)</f>
        <v>0</v>
      </c>
      <c r="H1061">
        <f>ROUND(IF(D1061&gt;0,D1061,),2)</f>
        <v>0</v>
      </c>
      <c r="K1061" s="7"/>
      <c r="L1061" s="9"/>
      <c r="M1061" s="9"/>
      <c r="N1061" s="7"/>
      <c r="P1061" s="8"/>
      <c r="Q1061" s="5"/>
      <c r="R1061" s="5"/>
      <c r="AF1061" s="14"/>
    </row>
    <row r="1062" spans="1:32" customFormat="1" x14ac:dyDescent="0.25">
      <c r="A1062" s="9"/>
      <c r="C1062" s="14"/>
      <c r="E1062" t="str">
        <f>IF(ISNA(VLOOKUP(C1062,P:Q,2,0)),"",VLOOKUP(C1062,P:Q,2,0))</f>
        <v/>
      </c>
      <c r="F1062" s="15" t="str">
        <f>IF(ISNA(VLOOKUP(C1062,P:R,3,0)),"",VLOOKUP(C1062,P:R,3,0))</f>
        <v/>
      </c>
      <c r="G1062">
        <f>ROUND(IF(D1062&gt;0,0,ABS(D1062)),2)</f>
        <v>0</v>
      </c>
      <c r="H1062">
        <f>ROUND(IF(D1062&gt;0,D1062,),2)</f>
        <v>0</v>
      </c>
      <c r="K1062" s="7"/>
      <c r="L1062" s="9"/>
      <c r="M1062" s="9"/>
      <c r="N1062" s="7"/>
      <c r="P1062" s="8"/>
      <c r="Q1062" s="5"/>
      <c r="R1062" s="5"/>
      <c r="AF1062" s="14"/>
    </row>
    <row r="1063" spans="1:32" customFormat="1" x14ac:dyDescent="0.25">
      <c r="A1063" s="9"/>
      <c r="C1063" s="14"/>
      <c r="E1063" t="str">
        <f>IF(ISNA(VLOOKUP(C1063,P:Q,2,0)),"",VLOOKUP(C1063,P:Q,2,0))</f>
        <v/>
      </c>
      <c r="F1063" s="15" t="str">
        <f>IF(ISNA(VLOOKUP(C1063,P:R,3,0)),"",VLOOKUP(C1063,P:R,3,0))</f>
        <v/>
      </c>
      <c r="G1063">
        <f>ROUND(IF(D1063&gt;0,0,ABS(D1063)),2)</f>
        <v>0</v>
      </c>
      <c r="H1063">
        <f>ROUND(IF(D1063&gt;0,D1063,),2)</f>
        <v>0</v>
      </c>
      <c r="K1063" s="7"/>
      <c r="L1063" s="9"/>
      <c r="M1063" s="9"/>
      <c r="N1063" s="7"/>
      <c r="P1063" s="8"/>
      <c r="Q1063" s="5"/>
      <c r="R1063" s="5"/>
      <c r="AF1063" s="14"/>
    </row>
    <row r="1064" spans="1:32" customFormat="1" x14ac:dyDescent="0.25">
      <c r="A1064" s="9"/>
      <c r="C1064" s="14"/>
      <c r="E1064" t="str">
        <f>IF(ISNA(VLOOKUP(C1064,P:Q,2,0)),"",VLOOKUP(C1064,P:Q,2,0))</f>
        <v/>
      </c>
      <c r="F1064" s="15" t="str">
        <f>IF(ISNA(VLOOKUP(C1064,P:R,3,0)),"",VLOOKUP(C1064,P:R,3,0))</f>
        <v/>
      </c>
      <c r="G1064">
        <f>ROUND(IF(D1064&gt;0,0,ABS(D1064)),2)</f>
        <v>0</v>
      </c>
      <c r="H1064">
        <f>ROUND(IF(D1064&gt;0,D1064,),2)</f>
        <v>0</v>
      </c>
      <c r="K1064" s="7"/>
      <c r="L1064" s="9"/>
      <c r="M1064" s="9"/>
      <c r="N1064" s="7"/>
      <c r="P1064" s="8"/>
      <c r="Q1064" s="5"/>
      <c r="R1064" s="5"/>
      <c r="AF1064" s="14"/>
    </row>
    <row r="1065" spans="1:32" customFormat="1" x14ac:dyDescent="0.25">
      <c r="A1065" s="9"/>
      <c r="C1065" s="14"/>
      <c r="E1065" t="str">
        <f>IF(ISNA(VLOOKUP(C1065,P:Q,2,0)),"",VLOOKUP(C1065,P:Q,2,0))</f>
        <v/>
      </c>
      <c r="F1065" s="15" t="str">
        <f>IF(ISNA(VLOOKUP(C1065,P:R,3,0)),"",VLOOKUP(C1065,P:R,3,0))</f>
        <v/>
      </c>
      <c r="G1065">
        <f>ROUND(IF(D1065&gt;0,0,ABS(D1065)),2)</f>
        <v>0</v>
      </c>
      <c r="H1065">
        <f>ROUND(IF(D1065&gt;0,D1065,),2)</f>
        <v>0</v>
      </c>
      <c r="K1065" s="7"/>
      <c r="L1065" s="9"/>
      <c r="M1065" s="9"/>
      <c r="N1065" s="7"/>
      <c r="P1065" s="8"/>
      <c r="Q1065" s="5"/>
      <c r="R1065" s="5"/>
      <c r="AF1065" s="14"/>
    </row>
    <row r="1066" spans="1:32" customFormat="1" x14ac:dyDescent="0.25">
      <c r="A1066" s="9"/>
      <c r="C1066" s="14"/>
      <c r="E1066" t="str">
        <f>IF(ISNA(VLOOKUP(C1066,P:Q,2,0)),"",VLOOKUP(C1066,P:Q,2,0))</f>
        <v/>
      </c>
      <c r="F1066" s="15" t="str">
        <f>IF(ISNA(VLOOKUP(C1066,P:R,3,0)),"",VLOOKUP(C1066,P:R,3,0))</f>
        <v/>
      </c>
      <c r="G1066">
        <f>ROUND(IF(D1066&gt;0,0,ABS(D1066)),2)</f>
        <v>0</v>
      </c>
      <c r="H1066">
        <f>ROUND(IF(D1066&gt;0,D1066,),2)</f>
        <v>0</v>
      </c>
      <c r="K1066" s="7"/>
      <c r="L1066" s="9"/>
      <c r="M1066" s="9"/>
      <c r="N1066" s="7"/>
      <c r="P1066" s="8"/>
      <c r="Q1066" s="5"/>
      <c r="R1066" s="5"/>
      <c r="AF1066" s="14"/>
    </row>
    <row r="1067" spans="1:32" customFormat="1" x14ac:dyDescent="0.25">
      <c r="A1067" s="9"/>
      <c r="C1067" s="14"/>
      <c r="E1067" t="str">
        <f>IF(ISNA(VLOOKUP(C1067,P:Q,2,0)),"",VLOOKUP(C1067,P:Q,2,0))</f>
        <v/>
      </c>
      <c r="F1067" s="15" t="str">
        <f>IF(ISNA(VLOOKUP(C1067,P:R,3,0)),"",VLOOKUP(C1067,P:R,3,0))</f>
        <v/>
      </c>
      <c r="G1067">
        <f>ROUND(IF(D1067&gt;0,0,ABS(D1067)),2)</f>
        <v>0</v>
      </c>
      <c r="H1067">
        <f>ROUND(IF(D1067&gt;0,D1067,),2)</f>
        <v>0</v>
      </c>
      <c r="K1067" s="7"/>
      <c r="L1067" s="9"/>
      <c r="M1067" s="9"/>
      <c r="N1067" s="7"/>
      <c r="P1067" s="8"/>
      <c r="Q1067" s="5"/>
      <c r="R1067" s="5"/>
      <c r="AF1067" s="14"/>
    </row>
    <row r="1068" spans="1:32" customFormat="1" x14ac:dyDescent="0.25">
      <c r="A1068" s="9"/>
      <c r="C1068" s="14"/>
      <c r="E1068" t="str">
        <f>IF(ISNA(VLOOKUP(C1068,P:Q,2,0)),"",VLOOKUP(C1068,P:Q,2,0))</f>
        <v/>
      </c>
      <c r="F1068" s="15" t="str">
        <f>IF(ISNA(VLOOKUP(C1068,P:R,3,0)),"",VLOOKUP(C1068,P:R,3,0))</f>
        <v/>
      </c>
      <c r="G1068">
        <f>ROUND(IF(D1068&gt;0,0,ABS(D1068)),2)</f>
        <v>0</v>
      </c>
      <c r="H1068">
        <f>ROUND(IF(D1068&gt;0,D1068,),2)</f>
        <v>0</v>
      </c>
      <c r="K1068" s="7"/>
      <c r="L1068" s="9"/>
      <c r="M1068" s="9"/>
      <c r="N1068" s="7"/>
      <c r="P1068" s="8"/>
      <c r="Q1068" s="5"/>
      <c r="R1068" s="5"/>
      <c r="AF1068" s="14"/>
    </row>
    <row r="1069" spans="1:32" customFormat="1" x14ac:dyDescent="0.25">
      <c r="A1069" s="9"/>
      <c r="C1069" s="14"/>
      <c r="E1069" t="str">
        <f>IF(ISNA(VLOOKUP(C1069,P:Q,2,0)),"",VLOOKUP(C1069,P:Q,2,0))</f>
        <v/>
      </c>
      <c r="F1069" s="15" t="str">
        <f>IF(ISNA(VLOOKUP(C1069,P:R,3,0)),"",VLOOKUP(C1069,P:R,3,0))</f>
        <v/>
      </c>
      <c r="G1069">
        <f>ROUND(IF(D1069&gt;0,0,ABS(D1069)),2)</f>
        <v>0</v>
      </c>
      <c r="H1069">
        <f>ROUND(IF(D1069&gt;0,D1069,),2)</f>
        <v>0</v>
      </c>
      <c r="K1069" s="7"/>
      <c r="L1069" s="9"/>
      <c r="M1069" s="9"/>
      <c r="N1069" s="7"/>
      <c r="P1069" s="8"/>
      <c r="Q1069" s="5"/>
      <c r="R1069" s="5"/>
      <c r="AF1069" s="14"/>
    </row>
    <row r="1070" spans="1:32" customFormat="1" x14ac:dyDescent="0.25">
      <c r="A1070" s="9"/>
      <c r="C1070" s="14"/>
      <c r="E1070" t="str">
        <f>IF(ISNA(VLOOKUP(C1070,P:Q,2,0)),"",VLOOKUP(C1070,P:Q,2,0))</f>
        <v/>
      </c>
      <c r="F1070" s="15" t="str">
        <f>IF(ISNA(VLOOKUP(C1070,P:R,3,0)),"",VLOOKUP(C1070,P:R,3,0))</f>
        <v/>
      </c>
      <c r="G1070">
        <f>ROUND(IF(D1070&gt;0,0,ABS(D1070)),2)</f>
        <v>0</v>
      </c>
      <c r="H1070">
        <f>ROUND(IF(D1070&gt;0,D1070,),2)</f>
        <v>0</v>
      </c>
      <c r="K1070" s="7"/>
      <c r="L1070" s="9"/>
      <c r="M1070" s="9"/>
      <c r="N1070" s="7"/>
      <c r="P1070" s="8"/>
      <c r="Q1070" s="5"/>
      <c r="R1070" s="5"/>
      <c r="AF1070" s="14"/>
    </row>
    <row r="1071" spans="1:32" customFormat="1" x14ac:dyDescent="0.25">
      <c r="A1071" s="9"/>
      <c r="C1071" s="14"/>
      <c r="E1071" t="str">
        <f>IF(ISNA(VLOOKUP(C1071,P:Q,2,0)),"",VLOOKUP(C1071,P:Q,2,0))</f>
        <v/>
      </c>
      <c r="F1071" s="15" t="str">
        <f>IF(ISNA(VLOOKUP(C1071,P:R,3,0)),"",VLOOKUP(C1071,P:R,3,0))</f>
        <v/>
      </c>
      <c r="G1071">
        <f>ROUND(IF(D1071&gt;0,0,ABS(D1071)),2)</f>
        <v>0</v>
      </c>
      <c r="H1071">
        <f>ROUND(IF(D1071&gt;0,D1071,),2)</f>
        <v>0</v>
      </c>
      <c r="K1071" s="7"/>
      <c r="L1071" s="9"/>
      <c r="M1071" s="9"/>
      <c r="N1071" s="7"/>
      <c r="P1071" s="8"/>
      <c r="Q1071" s="5"/>
      <c r="R1071" s="5"/>
      <c r="AF1071" s="14"/>
    </row>
    <row r="1072" spans="1:32" customFormat="1" x14ac:dyDescent="0.25">
      <c r="A1072" s="9"/>
      <c r="C1072" s="14"/>
      <c r="E1072" t="str">
        <f>IF(ISNA(VLOOKUP(C1072,P:Q,2,0)),"",VLOOKUP(C1072,P:Q,2,0))</f>
        <v/>
      </c>
      <c r="F1072" s="15" t="str">
        <f>IF(ISNA(VLOOKUP(C1072,P:R,3,0)),"",VLOOKUP(C1072,P:R,3,0))</f>
        <v/>
      </c>
      <c r="G1072">
        <f>ROUND(IF(D1072&gt;0,0,ABS(D1072)),2)</f>
        <v>0</v>
      </c>
      <c r="H1072">
        <f>ROUND(IF(D1072&gt;0,D1072,),2)</f>
        <v>0</v>
      </c>
      <c r="K1072" s="7"/>
      <c r="L1072" s="9"/>
      <c r="M1072" s="9"/>
      <c r="N1072" s="7"/>
      <c r="P1072" s="8"/>
      <c r="Q1072" s="5"/>
      <c r="R1072" s="5"/>
      <c r="AF1072" s="14"/>
    </row>
    <row r="1073" spans="1:32" customFormat="1" x14ac:dyDescent="0.25">
      <c r="A1073" s="9"/>
      <c r="C1073" s="14"/>
      <c r="E1073" t="str">
        <f>IF(ISNA(VLOOKUP(C1073,P:Q,2,0)),"",VLOOKUP(C1073,P:Q,2,0))</f>
        <v/>
      </c>
      <c r="F1073" s="15" t="str">
        <f>IF(ISNA(VLOOKUP(C1073,P:R,3,0)),"",VLOOKUP(C1073,P:R,3,0))</f>
        <v/>
      </c>
      <c r="G1073">
        <f>ROUND(IF(D1073&gt;0,0,ABS(D1073)),2)</f>
        <v>0</v>
      </c>
      <c r="H1073">
        <f>ROUND(IF(D1073&gt;0,D1073,),2)</f>
        <v>0</v>
      </c>
      <c r="K1073" s="7"/>
      <c r="L1073" s="9"/>
      <c r="M1073" s="9"/>
      <c r="N1073" s="7"/>
      <c r="P1073" s="8"/>
      <c r="Q1073" s="5"/>
      <c r="R1073" s="5"/>
      <c r="AF1073" s="14"/>
    </row>
    <row r="1074" spans="1:32" customFormat="1" x14ac:dyDescent="0.25">
      <c r="A1074" s="9"/>
      <c r="C1074" s="14"/>
      <c r="E1074" t="str">
        <f>IF(ISNA(VLOOKUP(C1074,P:Q,2,0)),"",VLOOKUP(C1074,P:Q,2,0))</f>
        <v/>
      </c>
      <c r="F1074" s="15" t="str">
        <f>IF(ISNA(VLOOKUP(C1074,P:R,3,0)),"",VLOOKUP(C1074,P:R,3,0))</f>
        <v/>
      </c>
      <c r="G1074">
        <f>ROUND(IF(D1074&gt;0,0,ABS(D1074)),2)</f>
        <v>0</v>
      </c>
      <c r="H1074">
        <f>ROUND(IF(D1074&gt;0,D1074,),2)</f>
        <v>0</v>
      </c>
      <c r="K1074" s="7"/>
      <c r="L1074" s="9"/>
      <c r="M1074" s="9"/>
      <c r="N1074" s="7"/>
      <c r="P1074" s="8"/>
      <c r="Q1074" s="5"/>
      <c r="R1074" s="5"/>
      <c r="AF1074" s="14"/>
    </row>
    <row r="1075" spans="1:32" customFormat="1" x14ac:dyDescent="0.25">
      <c r="A1075" s="9"/>
      <c r="C1075" s="14"/>
      <c r="E1075" t="str">
        <f>IF(ISNA(VLOOKUP(C1075,P:Q,2,0)),"",VLOOKUP(C1075,P:Q,2,0))</f>
        <v/>
      </c>
      <c r="F1075" s="15" t="str">
        <f>IF(ISNA(VLOOKUP(C1075,P:R,3,0)),"",VLOOKUP(C1075,P:R,3,0))</f>
        <v/>
      </c>
      <c r="G1075">
        <f>ROUND(IF(D1075&gt;0,0,ABS(D1075)),2)</f>
        <v>0</v>
      </c>
      <c r="H1075">
        <f>ROUND(IF(D1075&gt;0,D1075,),2)</f>
        <v>0</v>
      </c>
      <c r="K1075" s="7"/>
      <c r="L1075" s="9"/>
      <c r="M1075" s="9"/>
      <c r="N1075" s="7"/>
      <c r="P1075" s="8"/>
      <c r="Q1075" s="5"/>
      <c r="R1075" s="5"/>
      <c r="AF1075" s="14"/>
    </row>
    <row r="1076" spans="1:32" customFormat="1" x14ac:dyDescent="0.25">
      <c r="A1076" s="9"/>
      <c r="C1076" s="14"/>
      <c r="E1076" t="str">
        <f>IF(ISNA(VLOOKUP(C1076,P:Q,2,0)),"",VLOOKUP(C1076,P:Q,2,0))</f>
        <v/>
      </c>
      <c r="F1076" s="15" t="str">
        <f>IF(ISNA(VLOOKUP(C1076,P:R,3,0)),"",VLOOKUP(C1076,P:R,3,0))</f>
        <v/>
      </c>
      <c r="G1076">
        <f>ROUND(IF(D1076&gt;0,0,ABS(D1076)),2)</f>
        <v>0</v>
      </c>
      <c r="H1076">
        <f>ROUND(IF(D1076&gt;0,D1076,),2)</f>
        <v>0</v>
      </c>
      <c r="K1076" s="7"/>
      <c r="L1076" s="9"/>
      <c r="M1076" s="9"/>
      <c r="N1076" s="7"/>
      <c r="P1076" s="8"/>
      <c r="Q1076" s="5"/>
      <c r="R1076" s="5"/>
      <c r="AF1076" s="14"/>
    </row>
    <row r="1077" spans="1:32" customFormat="1" x14ac:dyDescent="0.25">
      <c r="A1077" s="9"/>
      <c r="C1077" s="14"/>
      <c r="E1077" t="str">
        <f>IF(ISNA(VLOOKUP(C1077,P:Q,2,0)),"",VLOOKUP(C1077,P:Q,2,0))</f>
        <v/>
      </c>
      <c r="F1077" s="15" t="str">
        <f>IF(ISNA(VLOOKUP(C1077,P:R,3,0)),"",VLOOKUP(C1077,P:R,3,0))</f>
        <v/>
      </c>
      <c r="G1077">
        <f>ROUND(IF(D1077&gt;0,0,ABS(D1077)),2)</f>
        <v>0</v>
      </c>
      <c r="H1077">
        <f>ROUND(IF(D1077&gt;0,D1077,),2)</f>
        <v>0</v>
      </c>
      <c r="K1077" s="7"/>
      <c r="L1077" s="9"/>
      <c r="M1077" s="9"/>
      <c r="N1077" s="7"/>
      <c r="P1077" s="8"/>
      <c r="Q1077" s="5"/>
      <c r="R1077" s="5"/>
      <c r="AF1077" s="14"/>
    </row>
    <row r="1078" spans="1:32" customFormat="1" x14ac:dyDescent="0.25">
      <c r="A1078" s="9"/>
      <c r="C1078" s="14"/>
      <c r="E1078" t="str">
        <f>IF(ISNA(VLOOKUP(C1078,P:Q,2,0)),"",VLOOKUP(C1078,P:Q,2,0))</f>
        <v/>
      </c>
      <c r="F1078" s="15" t="str">
        <f>IF(ISNA(VLOOKUP(C1078,P:R,3,0)),"",VLOOKUP(C1078,P:R,3,0))</f>
        <v/>
      </c>
      <c r="G1078">
        <f>ROUND(IF(D1078&gt;0,0,ABS(D1078)),2)</f>
        <v>0</v>
      </c>
      <c r="H1078">
        <f>ROUND(IF(D1078&gt;0,D1078,),2)</f>
        <v>0</v>
      </c>
      <c r="K1078" s="7"/>
      <c r="L1078" s="9"/>
      <c r="M1078" s="9"/>
      <c r="N1078" s="7"/>
      <c r="P1078" s="8"/>
      <c r="Q1078" s="5"/>
      <c r="R1078" s="5"/>
      <c r="AF1078" s="14"/>
    </row>
    <row r="1079" spans="1:32" customFormat="1" x14ac:dyDescent="0.25">
      <c r="A1079" s="9"/>
      <c r="C1079" s="14"/>
      <c r="E1079" t="str">
        <f>IF(ISNA(VLOOKUP(C1079,P:Q,2,0)),"",VLOOKUP(C1079,P:Q,2,0))</f>
        <v/>
      </c>
      <c r="F1079" s="15" t="str">
        <f>IF(ISNA(VLOOKUP(C1079,P:R,3,0)),"",VLOOKUP(C1079,P:R,3,0))</f>
        <v/>
      </c>
      <c r="G1079">
        <f>ROUND(IF(D1079&gt;0,0,ABS(D1079)),2)</f>
        <v>0</v>
      </c>
      <c r="H1079">
        <f>ROUND(IF(D1079&gt;0,D1079,),2)</f>
        <v>0</v>
      </c>
      <c r="K1079" s="7"/>
      <c r="L1079" s="9"/>
      <c r="M1079" s="9"/>
      <c r="N1079" s="7"/>
      <c r="P1079" s="8"/>
      <c r="Q1079" s="5"/>
      <c r="R1079" s="5"/>
      <c r="AF1079" s="14"/>
    </row>
    <row r="1080" spans="1:32" customFormat="1" x14ac:dyDescent="0.25">
      <c r="A1080" s="9"/>
      <c r="C1080" s="14"/>
      <c r="E1080" t="str">
        <f>IF(ISNA(VLOOKUP(C1080,P:Q,2,0)),"",VLOOKUP(C1080,P:Q,2,0))</f>
        <v/>
      </c>
      <c r="F1080" s="15" t="str">
        <f>IF(ISNA(VLOOKUP(C1080,P:R,3,0)),"",VLOOKUP(C1080,P:R,3,0))</f>
        <v/>
      </c>
      <c r="G1080">
        <f>ROUND(IF(D1080&gt;0,0,ABS(D1080)),2)</f>
        <v>0</v>
      </c>
      <c r="H1080">
        <f>ROUND(IF(D1080&gt;0,D1080,),2)</f>
        <v>0</v>
      </c>
      <c r="K1080" s="7"/>
      <c r="L1080" s="9"/>
      <c r="M1080" s="9"/>
      <c r="N1080" s="7"/>
      <c r="P1080" s="8"/>
      <c r="Q1080" s="5"/>
      <c r="R1080" s="5"/>
      <c r="AF1080" s="14"/>
    </row>
    <row r="1081" spans="1:32" customFormat="1" x14ac:dyDescent="0.25">
      <c r="A1081" s="9"/>
      <c r="C1081" s="14"/>
      <c r="E1081" t="str">
        <f>IF(ISNA(VLOOKUP(C1081,P:Q,2,0)),"",VLOOKUP(C1081,P:Q,2,0))</f>
        <v/>
      </c>
      <c r="F1081" s="15" t="str">
        <f>IF(ISNA(VLOOKUP(C1081,P:R,3,0)),"",VLOOKUP(C1081,P:R,3,0))</f>
        <v/>
      </c>
      <c r="G1081">
        <f>ROUND(IF(D1081&gt;0,0,ABS(D1081)),2)</f>
        <v>0</v>
      </c>
      <c r="H1081">
        <f>ROUND(IF(D1081&gt;0,D1081,),2)</f>
        <v>0</v>
      </c>
      <c r="K1081" s="7"/>
      <c r="L1081" s="9"/>
      <c r="M1081" s="9"/>
      <c r="N1081" s="7"/>
      <c r="P1081" s="8"/>
      <c r="Q1081" s="5"/>
      <c r="R1081" s="5"/>
      <c r="AF1081" s="14"/>
    </row>
    <row r="1082" spans="1:32" customFormat="1" x14ac:dyDescent="0.25">
      <c r="A1082" s="9"/>
      <c r="C1082" s="14"/>
      <c r="E1082" t="str">
        <f>IF(ISNA(VLOOKUP(C1082,P:Q,2,0)),"",VLOOKUP(C1082,P:Q,2,0))</f>
        <v/>
      </c>
      <c r="F1082" s="15" t="str">
        <f>IF(ISNA(VLOOKUP(C1082,P:R,3,0)),"",VLOOKUP(C1082,P:R,3,0))</f>
        <v/>
      </c>
      <c r="G1082">
        <f>ROUND(IF(D1082&gt;0,0,ABS(D1082)),2)</f>
        <v>0</v>
      </c>
      <c r="H1082">
        <f>ROUND(IF(D1082&gt;0,D1082,),2)</f>
        <v>0</v>
      </c>
      <c r="K1082" s="7"/>
      <c r="L1082" s="9"/>
      <c r="M1082" s="9"/>
      <c r="N1082" s="7"/>
      <c r="P1082" s="8"/>
      <c r="Q1082" s="5"/>
      <c r="R1082" s="5"/>
      <c r="AF1082" s="14"/>
    </row>
    <row r="1083" spans="1:32" customFormat="1" x14ac:dyDescent="0.25">
      <c r="A1083" s="9"/>
      <c r="C1083" s="14"/>
      <c r="E1083" t="str">
        <f>IF(ISNA(VLOOKUP(C1083,P:Q,2,0)),"",VLOOKUP(C1083,P:Q,2,0))</f>
        <v/>
      </c>
      <c r="F1083" s="15" t="str">
        <f>IF(ISNA(VLOOKUP(C1083,P:R,3,0)),"",VLOOKUP(C1083,P:R,3,0))</f>
        <v/>
      </c>
      <c r="G1083">
        <f>ROUND(IF(D1083&gt;0,0,ABS(D1083)),2)</f>
        <v>0</v>
      </c>
      <c r="H1083">
        <f>ROUND(IF(D1083&gt;0,D1083,),2)</f>
        <v>0</v>
      </c>
      <c r="K1083" s="7"/>
      <c r="L1083" s="9"/>
      <c r="M1083" s="9"/>
      <c r="N1083" s="7"/>
      <c r="P1083" s="8"/>
      <c r="Q1083" s="5"/>
      <c r="R1083" s="5"/>
      <c r="AF1083" s="14"/>
    </row>
    <row r="1084" spans="1:32" customFormat="1" x14ac:dyDescent="0.25">
      <c r="A1084" s="9"/>
      <c r="C1084" s="14"/>
      <c r="E1084" t="str">
        <f>IF(ISNA(VLOOKUP(C1084,P:Q,2,0)),"",VLOOKUP(C1084,P:Q,2,0))</f>
        <v/>
      </c>
      <c r="F1084" s="15" t="str">
        <f>IF(ISNA(VLOOKUP(C1084,P:R,3,0)),"",VLOOKUP(C1084,P:R,3,0))</f>
        <v/>
      </c>
      <c r="G1084">
        <f>ROUND(IF(D1084&gt;0,0,ABS(D1084)),2)</f>
        <v>0</v>
      </c>
      <c r="H1084">
        <f>ROUND(IF(D1084&gt;0,D1084,),2)</f>
        <v>0</v>
      </c>
      <c r="K1084" s="7"/>
      <c r="L1084" s="9"/>
      <c r="M1084" s="9"/>
      <c r="N1084" s="7"/>
      <c r="P1084" s="8"/>
      <c r="Q1084" s="5"/>
      <c r="R1084" s="5"/>
      <c r="AF1084" s="14"/>
    </row>
    <row r="1085" spans="1:32" customFormat="1" x14ac:dyDescent="0.25">
      <c r="A1085" s="9"/>
      <c r="C1085" s="14"/>
      <c r="E1085" t="str">
        <f>IF(ISNA(VLOOKUP(C1085,P:Q,2,0)),"",VLOOKUP(C1085,P:Q,2,0))</f>
        <v/>
      </c>
      <c r="F1085" s="15" t="str">
        <f>IF(ISNA(VLOOKUP(C1085,P:R,3,0)),"",VLOOKUP(C1085,P:R,3,0))</f>
        <v/>
      </c>
      <c r="G1085">
        <f>ROUND(IF(D1085&gt;0,0,ABS(D1085)),2)</f>
        <v>0</v>
      </c>
      <c r="H1085">
        <f>ROUND(IF(D1085&gt;0,D1085,),2)</f>
        <v>0</v>
      </c>
      <c r="K1085" s="7"/>
      <c r="L1085" s="9"/>
      <c r="M1085" s="9"/>
      <c r="N1085" s="7"/>
      <c r="P1085" s="8"/>
      <c r="Q1085" s="5"/>
      <c r="R1085" s="5"/>
      <c r="AF1085" s="14"/>
    </row>
    <row r="1086" spans="1:32" customFormat="1" x14ac:dyDescent="0.25">
      <c r="A1086" s="9"/>
      <c r="C1086" s="14"/>
      <c r="E1086" t="str">
        <f>IF(ISNA(VLOOKUP(C1086,P:Q,2,0)),"",VLOOKUP(C1086,P:Q,2,0))</f>
        <v/>
      </c>
      <c r="F1086" s="15" t="str">
        <f>IF(ISNA(VLOOKUP(C1086,P:R,3,0)),"",VLOOKUP(C1086,P:R,3,0))</f>
        <v/>
      </c>
      <c r="G1086">
        <f>ROUND(IF(D1086&gt;0,0,ABS(D1086)),2)</f>
        <v>0</v>
      </c>
      <c r="H1086">
        <f>ROUND(IF(D1086&gt;0,D1086,),2)</f>
        <v>0</v>
      </c>
      <c r="K1086" s="7"/>
      <c r="L1086" s="9"/>
      <c r="M1086" s="9"/>
      <c r="N1086" s="7"/>
      <c r="P1086" s="8"/>
      <c r="Q1086" s="5"/>
      <c r="R1086" s="5"/>
      <c r="AF1086" s="14"/>
    </row>
    <row r="1087" spans="1:32" customFormat="1" x14ac:dyDescent="0.25">
      <c r="A1087" s="9"/>
      <c r="C1087" s="14"/>
      <c r="E1087" t="str">
        <f>IF(ISNA(VLOOKUP(C1087,P:Q,2,0)),"",VLOOKUP(C1087,P:Q,2,0))</f>
        <v/>
      </c>
      <c r="F1087" s="15" t="str">
        <f>IF(ISNA(VLOOKUP(C1087,P:R,3,0)),"",VLOOKUP(C1087,P:R,3,0))</f>
        <v/>
      </c>
      <c r="G1087">
        <f>ROUND(IF(D1087&gt;0,0,ABS(D1087)),2)</f>
        <v>0</v>
      </c>
      <c r="H1087">
        <f>ROUND(IF(D1087&gt;0,D1087,),2)</f>
        <v>0</v>
      </c>
      <c r="K1087" s="7"/>
      <c r="L1087" s="9"/>
      <c r="M1087" s="9"/>
      <c r="N1087" s="7"/>
      <c r="P1087" s="8"/>
      <c r="Q1087" s="5"/>
      <c r="R1087" s="5"/>
      <c r="AF1087" s="14"/>
    </row>
    <row r="1088" spans="1:32" customFormat="1" x14ac:dyDescent="0.25">
      <c r="A1088" s="9"/>
      <c r="C1088" s="14"/>
      <c r="E1088" t="str">
        <f>IF(ISNA(VLOOKUP(C1088,P:Q,2,0)),"",VLOOKUP(C1088,P:Q,2,0))</f>
        <v/>
      </c>
      <c r="F1088" s="15" t="str">
        <f>IF(ISNA(VLOOKUP(C1088,P:R,3,0)),"",VLOOKUP(C1088,P:R,3,0))</f>
        <v/>
      </c>
      <c r="G1088">
        <f>ROUND(IF(D1088&gt;0,0,ABS(D1088)),2)</f>
        <v>0</v>
      </c>
      <c r="H1088">
        <f>ROUND(IF(D1088&gt;0,D1088,),2)</f>
        <v>0</v>
      </c>
      <c r="K1088" s="7"/>
      <c r="L1088" s="9"/>
      <c r="M1088" s="9"/>
      <c r="N1088" s="7"/>
      <c r="P1088" s="8"/>
      <c r="Q1088" s="5"/>
      <c r="R1088" s="5"/>
      <c r="AF1088" s="14"/>
    </row>
    <row r="1089" spans="1:32" customFormat="1" x14ac:dyDescent="0.25">
      <c r="A1089" s="9"/>
      <c r="C1089" s="14"/>
      <c r="E1089" t="str">
        <f>IF(ISNA(VLOOKUP(C1089,P:Q,2,0)),"",VLOOKUP(C1089,P:Q,2,0))</f>
        <v/>
      </c>
      <c r="F1089" s="15" t="str">
        <f>IF(ISNA(VLOOKUP(C1089,P:R,3,0)),"",VLOOKUP(C1089,P:R,3,0))</f>
        <v/>
      </c>
      <c r="G1089">
        <f>ROUND(IF(D1089&gt;0,0,ABS(D1089)),2)</f>
        <v>0</v>
      </c>
      <c r="H1089">
        <f>ROUND(IF(D1089&gt;0,D1089,),2)</f>
        <v>0</v>
      </c>
      <c r="K1089" s="7"/>
      <c r="L1089" s="9"/>
      <c r="M1089" s="9"/>
      <c r="N1089" s="7"/>
      <c r="P1089" s="8"/>
      <c r="Q1089" s="5"/>
      <c r="R1089" s="5"/>
      <c r="AF1089" s="14"/>
    </row>
    <row r="1090" spans="1:32" customFormat="1" x14ac:dyDescent="0.25">
      <c r="A1090" s="9"/>
      <c r="C1090" s="14"/>
      <c r="E1090" t="str">
        <f>IF(ISNA(VLOOKUP(C1090,P:Q,2,0)),"",VLOOKUP(C1090,P:Q,2,0))</f>
        <v/>
      </c>
      <c r="F1090" s="15" t="str">
        <f>IF(ISNA(VLOOKUP(C1090,P:R,3,0)),"",VLOOKUP(C1090,P:R,3,0))</f>
        <v/>
      </c>
      <c r="G1090">
        <f>ROUND(IF(D1090&gt;0,0,ABS(D1090)),2)</f>
        <v>0</v>
      </c>
      <c r="H1090">
        <f>ROUND(IF(D1090&gt;0,D1090,),2)</f>
        <v>0</v>
      </c>
      <c r="K1090" s="7"/>
      <c r="L1090" s="9"/>
      <c r="M1090" s="9"/>
      <c r="N1090" s="7"/>
      <c r="P1090" s="8"/>
      <c r="Q1090" s="5"/>
      <c r="R1090" s="5"/>
      <c r="AF1090" s="14"/>
    </row>
    <row r="1091" spans="1:32" customFormat="1" x14ac:dyDescent="0.25">
      <c r="A1091" s="9"/>
      <c r="C1091" s="14"/>
      <c r="E1091" t="str">
        <f>IF(ISNA(VLOOKUP(C1091,P:Q,2,0)),"",VLOOKUP(C1091,P:Q,2,0))</f>
        <v/>
      </c>
      <c r="F1091" s="15" t="str">
        <f>IF(ISNA(VLOOKUP(C1091,P:R,3,0)),"",VLOOKUP(C1091,P:R,3,0))</f>
        <v/>
      </c>
      <c r="G1091">
        <f>ROUND(IF(D1091&gt;0,0,ABS(D1091)),2)</f>
        <v>0</v>
      </c>
      <c r="H1091">
        <f>ROUND(IF(D1091&gt;0,D1091,),2)</f>
        <v>0</v>
      </c>
      <c r="K1091" s="7"/>
      <c r="L1091" s="9"/>
      <c r="M1091" s="9"/>
      <c r="N1091" s="7"/>
      <c r="P1091" s="8"/>
      <c r="Q1091" s="5"/>
      <c r="R1091" s="5"/>
      <c r="AF1091" s="14"/>
    </row>
    <row r="1092" spans="1:32" customFormat="1" x14ac:dyDescent="0.25">
      <c r="A1092" s="9"/>
      <c r="C1092" s="14"/>
      <c r="E1092" t="str">
        <f>IF(ISNA(VLOOKUP(C1092,P:Q,2,0)),"",VLOOKUP(C1092,P:Q,2,0))</f>
        <v/>
      </c>
      <c r="F1092" s="15" t="str">
        <f>IF(ISNA(VLOOKUP(C1092,P:R,3,0)),"",VLOOKUP(C1092,P:R,3,0))</f>
        <v/>
      </c>
      <c r="G1092">
        <f>ROUND(IF(D1092&gt;0,0,ABS(D1092)),2)</f>
        <v>0</v>
      </c>
      <c r="H1092">
        <f>ROUND(IF(D1092&gt;0,D1092,),2)</f>
        <v>0</v>
      </c>
      <c r="K1092" s="7"/>
      <c r="L1092" s="9"/>
      <c r="M1092" s="9"/>
      <c r="N1092" s="7"/>
      <c r="P1092" s="8"/>
      <c r="Q1092" s="5"/>
      <c r="R1092" s="5"/>
      <c r="AF1092" s="14"/>
    </row>
    <row r="1093" spans="1:32" customFormat="1" x14ac:dyDescent="0.25">
      <c r="A1093" s="9"/>
      <c r="C1093" s="14"/>
      <c r="E1093" t="str">
        <f>IF(ISNA(VLOOKUP(C1093,P:Q,2,0)),"",VLOOKUP(C1093,P:Q,2,0))</f>
        <v/>
      </c>
      <c r="F1093" s="15" t="str">
        <f>IF(ISNA(VLOOKUP(C1093,P:R,3,0)),"",VLOOKUP(C1093,P:R,3,0))</f>
        <v/>
      </c>
      <c r="G1093">
        <f>ROUND(IF(D1093&gt;0,0,ABS(D1093)),2)</f>
        <v>0</v>
      </c>
      <c r="H1093">
        <f>ROUND(IF(D1093&gt;0,D1093,),2)</f>
        <v>0</v>
      </c>
      <c r="K1093" s="7"/>
      <c r="L1093" s="9"/>
      <c r="M1093" s="9"/>
      <c r="N1093" s="7"/>
      <c r="P1093" s="8"/>
      <c r="Q1093" s="5"/>
      <c r="R1093" s="5"/>
      <c r="AF1093" s="14"/>
    </row>
    <row r="1094" spans="1:32" customFormat="1" x14ac:dyDescent="0.25">
      <c r="A1094" s="9"/>
      <c r="C1094" s="14"/>
      <c r="E1094" t="str">
        <f>IF(ISNA(VLOOKUP(C1094,P:Q,2,0)),"",VLOOKUP(C1094,P:Q,2,0))</f>
        <v/>
      </c>
      <c r="F1094" s="15" t="str">
        <f>IF(ISNA(VLOOKUP(C1094,P:R,3,0)),"",VLOOKUP(C1094,P:R,3,0))</f>
        <v/>
      </c>
      <c r="G1094">
        <f>ROUND(IF(D1094&gt;0,0,ABS(D1094)),2)</f>
        <v>0</v>
      </c>
      <c r="H1094">
        <f>ROUND(IF(D1094&gt;0,D1094,),2)</f>
        <v>0</v>
      </c>
      <c r="K1094" s="7"/>
      <c r="L1094" s="9"/>
      <c r="M1094" s="9"/>
      <c r="N1094" s="7"/>
      <c r="P1094" s="8"/>
      <c r="Q1094" s="5"/>
      <c r="R1094" s="5"/>
      <c r="AF1094" s="14"/>
    </row>
    <row r="1095" spans="1:32" customFormat="1" x14ac:dyDescent="0.25">
      <c r="A1095" s="9"/>
      <c r="C1095" s="14"/>
      <c r="E1095" t="str">
        <f>IF(ISNA(VLOOKUP(C1095,P:Q,2,0)),"",VLOOKUP(C1095,P:Q,2,0))</f>
        <v/>
      </c>
      <c r="F1095" s="15" t="str">
        <f>IF(ISNA(VLOOKUP(C1095,P:R,3,0)),"",VLOOKUP(C1095,P:R,3,0))</f>
        <v/>
      </c>
      <c r="G1095">
        <f>ROUND(IF(D1095&gt;0,0,ABS(D1095)),2)</f>
        <v>0</v>
      </c>
      <c r="H1095">
        <f>ROUND(IF(D1095&gt;0,D1095,),2)</f>
        <v>0</v>
      </c>
      <c r="K1095" s="7"/>
      <c r="L1095" s="9"/>
      <c r="M1095" s="9"/>
      <c r="N1095" s="7"/>
      <c r="P1095" s="8"/>
      <c r="Q1095" s="5"/>
      <c r="R1095" s="5"/>
      <c r="AF1095" s="14"/>
    </row>
    <row r="1096" spans="1:32" customFormat="1" x14ac:dyDescent="0.25">
      <c r="A1096" s="9"/>
      <c r="C1096" s="14"/>
      <c r="E1096" t="str">
        <f>IF(ISNA(VLOOKUP(C1096,P:Q,2,0)),"",VLOOKUP(C1096,P:Q,2,0))</f>
        <v/>
      </c>
      <c r="F1096" s="15" t="str">
        <f>IF(ISNA(VLOOKUP(C1096,P:R,3,0)),"",VLOOKUP(C1096,P:R,3,0))</f>
        <v/>
      </c>
      <c r="G1096">
        <f>ROUND(IF(D1096&gt;0,0,ABS(D1096)),2)</f>
        <v>0</v>
      </c>
      <c r="H1096">
        <f>ROUND(IF(D1096&gt;0,D1096,),2)</f>
        <v>0</v>
      </c>
      <c r="K1096" s="7"/>
      <c r="L1096" s="9"/>
      <c r="M1096" s="9"/>
      <c r="N1096" s="7"/>
      <c r="P1096" s="8"/>
      <c r="Q1096" s="5"/>
      <c r="R1096" s="5"/>
      <c r="AF1096" s="14"/>
    </row>
    <row r="1097" spans="1:32" customFormat="1" x14ac:dyDescent="0.25">
      <c r="A1097" s="9"/>
      <c r="C1097" s="14"/>
      <c r="E1097" t="str">
        <f>IF(ISNA(VLOOKUP(C1097,P:Q,2,0)),"",VLOOKUP(C1097,P:Q,2,0))</f>
        <v/>
      </c>
      <c r="F1097" s="15" t="str">
        <f>IF(ISNA(VLOOKUP(C1097,P:R,3,0)),"",VLOOKUP(C1097,P:R,3,0))</f>
        <v/>
      </c>
      <c r="G1097">
        <f>ROUND(IF(D1097&gt;0,0,ABS(D1097)),2)</f>
        <v>0</v>
      </c>
      <c r="H1097">
        <f>ROUND(IF(D1097&gt;0,D1097,),2)</f>
        <v>0</v>
      </c>
      <c r="K1097" s="7"/>
      <c r="L1097" s="9"/>
      <c r="M1097" s="9"/>
      <c r="N1097" s="7"/>
      <c r="P1097" s="8"/>
      <c r="Q1097" s="5"/>
      <c r="R1097" s="5"/>
      <c r="AF1097" s="14"/>
    </row>
    <row r="1098" spans="1:32" customFormat="1" x14ac:dyDescent="0.25">
      <c r="A1098" s="9"/>
      <c r="C1098" s="14"/>
      <c r="E1098" t="str">
        <f>IF(ISNA(VLOOKUP(C1098,P:Q,2,0)),"",VLOOKUP(C1098,P:Q,2,0))</f>
        <v/>
      </c>
      <c r="F1098" s="15" t="str">
        <f>IF(ISNA(VLOOKUP(C1098,P:R,3,0)),"",VLOOKUP(C1098,P:R,3,0))</f>
        <v/>
      </c>
      <c r="G1098">
        <f>ROUND(IF(D1098&gt;0,0,ABS(D1098)),2)</f>
        <v>0</v>
      </c>
      <c r="H1098">
        <f>ROUND(IF(D1098&gt;0,D1098,),2)</f>
        <v>0</v>
      </c>
      <c r="K1098" s="7"/>
      <c r="L1098" s="9"/>
      <c r="M1098" s="9"/>
      <c r="N1098" s="7"/>
      <c r="P1098" s="8"/>
      <c r="Q1098" s="5"/>
      <c r="R1098" s="5"/>
      <c r="AF1098" s="14"/>
    </row>
    <row r="1099" spans="1:32" customFormat="1" x14ac:dyDescent="0.25">
      <c r="A1099" s="9"/>
      <c r="C1099" s="14"/>
      <c r="E1099" t="str">
        <f>IF(ISNA(VLOOKUP(C1099,P:Q,2,0)),"",VLOOKUP(C1099,P:Q,2,0))</f>
        <v/>
      </c>
      <c r="F1099" s="15" t="str">
        <f>IF(ISNA(VLOOKUP(C1099,P:R,3,0)),"",VLOOKUP(C1099,P:R,3,0))</f>
        <v/>
      </c>
      <c r="G1099">
        <f>ROUND(IF(D1099&gt;0,0,ABS(D1099)),2)</f>
        <v>0</v>
      </c>
      <c r="H1099">
        <f>ROUND(IF(D1099&gt;0,D1099,),2)</f>
        <v>0</v>
      </c>
      <c r="K1099" s="7"/>
      <c r="L1099" s="9"/>
      <c r="M1099" s="9"/>
      <c r="N1099" s="7"/>
      <c r="P1099" s="8"/>
      <c r="Q1099" s="5"/>
      <c r="R1099" s="5"/>
      <c r="AF1099" s="14"/>
    </row>
    <row r="1100" spans="1:32" customFormat="1" x14ac:dyDescent="0.25">
      <c r="A1100" s="9"/>
      <c r="C1100" s="14"/>
      <c r="E1100" t="str">
        <f>IF(ISNA(VLOOKUP(C1100,P:Q,2,0)),"",VLOOKUP(C1100,P:Q,2,0))</f>
        <v/>
      </c>
      <c r="F1100" s="15" t="str">
        <f>IF(ISNA(VLOOKUP(C1100,P:R,3,0)),"",VLOOKUP(C1100,P:R,3,0))</f>
        <v/>
      </c>
      <c r="G1100">
        <f>ROUND(IF(D1100&gt;0,0,ABS(D1100)),2)</f>
        <v>0</v>
      </c>
      <c r="H1100">
        <f>ROUND(IF(D1100&gt;0,D1100,),2)</f>
        <v>0</v>
      </c>
      <c r="K1100" s="7"/>
      <c r="L1100" s="9"/>
      <c r="M1100" s="9"/>
      <c r="N1100" s="7"/>
      <c r="P1100" s="8"/>
      <c r="Q1100" s="5"/>
      <c r="R1100" s="5"/>
      <c r="AF1100" s="14"/>
    </row>
    <row r="1101" spans="1:32" customFormat="1" x14ac:dyDescent="0.25">
      <c r="A1101" s="9"/>
      <c r="C1101" s="14"/>
      <c r="E1101" t="str">
        <f>IF(ISNA(VLOOKUP(C1101,P:Q,2,0)),"",VLOOKUP(C1101,P:Q,2,0))</f>
        <v/>
      </c>
      <c r="F1101" s="15" t="str">
        <f>IF(ISNA(VLOOKUP(C1101,P:R,3,0)),"",VLOOKUP(C1101,P:R,3,0))</f>
        <v/>
      </c>
      <c r="G1101">
        <f>ROUND(IF(D1101&gt;0,0,ABS(D1101)),2)</f>
        <v>0</v>
      </c>
      <c r="H1101">
        <f>ROUND(IF(D1101&gt;0,D1101,),2)</f>
        <v>0</v>
      </c>
      <c r="K1101" s="7"/>
      <c r="L1101" s="9"/>
      <c r="M1101" s="9"/>
      <c r="N1101" s="7"/>
      <c r="P1101" s="8"/>
      <c r="Q1101" s="5"/>
      <c r="R1101" s="5"/>
      <c r="AF1101" s="14"/>
    </row>
    <row r="1102" spans="1:32" customFormat="1" x14ac:dyDescent="0.25">
      <c r="A1102" s="9"/>
      <c r="C1102" s="14"/>
      <c r="E1102" t="str">
        <f>IF(ISNA(VLOOKUP(C1102,P:Q,2,0)),"",VLOOKUP(C1102,P:Q,2,0))</f>
        <v/>
      </c>
      <c r="F1102" s="15" t="str">
        <f>IF(ISNA(VLOOKUP(C1102,P:R,3,0)),"",VLOOKUP(C1102,P:R,3,0))</f>
        <v/>
      </c>
      <c r="G1102">
        <f>ROUND(IF(D1102&gt;0,0,ABS(D1102)),2)</f>
        <v>0</v>
      </c>
      <c r="H1102">
        <f>ROUND(IF(D1102&gt;0,D1102,),2)</f>
        <v>0</v>
      </c>
      <c r="K1102" s="7"/>
      <c r="L1102" s="9"/>
      <c r="M1102" s="9"/>
      <c r="N1102" s="7"/>
      <c r="P1102" s="8"/>
      <c r="Q1102" s="5"/>
      <c r="R1102" s="5"/>
      <c r="AF1102" s="14"/>
    </row>
    <row r="1103" spans="1:32" customFormat="1" x14ac:dyDescent="0.25">
      <c r="A1103" s="9"/>
      <c r="C1103" s="14"/>
      <c r="E1103" t="str">
        <f>IF(ISNA(VLOOKUP(C1103,P:Q,2,0)),"",VLOOKUP(C1103,P:Q,2,0))</f>
        <v/>
      </c>
      <c r="F1103" s="15" t="str">
        <f>IF(ISNA(VLOOKUP(C1103,P:R,3,0)),"",VLOOKUP(C1103,P:R,3,0))</f>
        <v/>
      </c>
      <c r="G1103">
        <f>ROUND(IF(D1103&gt;0,0,ABS(D1103)),2)</f>
        <v>0</v>
      </c>
      <c r="H1103">
        <f>ROUND(IF(D1103&gt;0,D1103,),2)</f>
        <v>0</v>
      </c>
      <c r="K1103" s="7"/>
      <c r="L1103" s="9"/>
      <c r="M1103" s="9"/>
      <c r="N1103" s="7"/>
      <c r="P1103" s="8"/>
      <c r="Q1103" s="5"/>
      <c r="R1103" s="5"/>
      <c r="AF1103" s="14"/>
    </row>
    <row r="1104" spans="1:32" customFormat="1" x14ac:dyDescent="0.25">
      <c r="A1104" s="9"/>
      <c r="C1104" s="14"/>
      <c r="E1104" t="str">
        <f>IF(ISNA(VLOOKUP(C1104,P:Q,2,0)),"",VLOOKUP(C1104,P:Q,2,0))</f>
        <v/>
      </c>
      <c r="F1104" s="15" t="str">
        <f>IF(ISNA(VLOOKUP(C1104,P:R,3,0)),"",VLOOKUP(C1104,P:R,3,0))</f>
        <v/>
      </c>
      <c r="G1104">
        <f>ROUND(IF(D1104&gt;0,0,ABS(D1104)),2)</f>
        <v>0</v>
      </c>
      <c r="H1104">
        <f>ROUND(IF(D1104&gt;0,D1104,),2)</f>
        <v>0</v>
      </c>
      <c r="K1104" s="7"/>
      <c r="L1104" s="9"/>
      <c r="M1104" s="9"/>
      <c r="N1104" s="7"/>
      <c r="P1104" s="8"/>
      <c r="Q1104" s="5"/>
      <c r="R1104" s="5"/>
      <c r="AF1104" s="14"/>
    </row>
    <row r="1105" spans="1:32" customFormat="1" x14ac:dyDescent="0.25">
      <c r="A1105" s="9"/>
      <c r="C1105" s="14"/>
      <c r="E1105" t="str">
        <f>IF(ISNA(VLOOKUP(C1105,P:Q,2,0)),"",VLOOKUP(C1105,P:Q,2,0))</f>
        <v/>
      </c>
      <c r="F1105" s="15" t="str">
        <f>IF(ISNA(VLOOKUP(C1105,P:R,3,0)),"",VLOOKUP(C1105,P:R,3,0))</f>
        <v/>
      </c>
      <c r="G1105">
        <f>ROUND(IF(D1105&gt;0,0,ABS(D1105)),2)</f>
        <v>0</v>
      </c>
      <c r="H1105">
        <f>ROUND(IF(D1105&gt;0,D1105,),2)</f>
        <v>0</v>
      </c>
      <c r="K1105" s="7"/>
      <c r="L1105" s="9"/>
      <c r="M1105" s="9"/>
      <c r="N1105" s="7"/>
      <c r="P1105" s="8"/>
      <c r="Q1105" s="5"/>
      <c r="R1105" s="5"/>
      <c r="AF1105" s="14"/>
    </row>
    <row r="1106" spans="1:32" customFormat="1" x14ac:dyDescent="0.25">
      <c r="A1106" s="9"/>
      <c r="C1106" s="14"/>
      <c r="E1106" t="str">
        <f>IF(ISNA(VLOOKUP(C1106,P:Q,2,0)),"",VLOOKUP(C1106,P:Q,2,0))</f>
        <v/>
      </c>
      <c r="F1106" s="15" t="str">
        <f>IF(ISNA(VLOOKUP(C1106,P:R,3,0)),"",VLOOKUP(C1106,P:R,3,0))</f>
        <v/>
      </c>
      <c r="G1106">
        <f>ROUND(IF(D1106&gt;0,0,ABS(D1106)),2)</f>
        <v>0</v>
      </c>
      <c r="H1106">
        <f>ROUND(IF(D1106&gt;0,D1106,),2)</f>
        <v>0</v>
      </c>
      <c r="K1106" s="7"/>
      <c r="L1106" s="9"/>
      <c r="M1106" s="9"/>
      <c r="N1106" s="7"/>
      <c r="P1106" s="8"/>
      <c r="Q1106" s="5"/>
      <c r="R1106" s="5"/>
      <c r="AF1106" s="14"/>
    </row>
    <row r="1107" spans="1:32" customFormat="1" x14ac:dyDescent="0.25">
      <c r="A1107" s="9"/>
      <c r="C1107" s="14"/>
      <c r="E1107" t="str">
        <f>IF(ISNA(VLOOKUP(C1107,P:Q,2,0)),"",VLOOKUP(C1107,P:Q,2,0))</f>
        <v/>
      </c>
      <c r="F1107" s="15" t="str">
        <f>IF(ISNA(VLOOKUP(C1107,P:R,3,0)),"",VLOOKUP(C1107,P:R,3,0))</f>
        <v/>
      </c>
      <c r="G1107">
        <f>ROUND(IF(D1107&gt;0,0,ABS(D1107)),2)</f>
        <v>0</v>
      </c>
      <c r="H1107">
        <f>ROUND(IF(D1107&gt;0,D1107,),2)</f>
        <v>0</v>
      </c>
      <c r="K1107" s="7"/>
      <c r="L1107" s="9"/>
      <c r="M1107" s="9"/>
      <c r="N1107" s="7"/>
      <c r="P1107" s="8"/>
      <c r="Q1107" s="5"/>
      <c r="R1107" s="5"/>
      <c r="AF1107" s="14"/>
    </row>
    <row r="1108" spans="1:32" customFormat="1" x14ac:dyDescent="0.25">
      <c r="A1108" s="9"/>
      <c r="C1108" s="14"/>
      <c r="E1108" t="str">
        <f>IF(ISNA(VLOOKUP(C1108,P:Q,2,0)),"",VLOOKUP(C1108,P:Q,2,0))</f>
        <v/>
      </c>
      <c r="F1108" s="15" t="str">
        <f>IF(ISNA(VLOOKUP(C1108,P:R,3,0)),"",VLOOKUP(C1108,P:R,3,0))</f>
        <v/>
      </c>
      <c r="G1108">
        <f>ROUND(IF(D1108&gt;0,0,ABS(D1108)),2)</f>
        <v>0</v>
      </c>
      <c r="H1108">
        <f>ROUND(IF(D1108&gt;0,D1108,),2)</f>
        <v>0</v>
      </c>
      <c r="K1108" s="7"/>
      <c r="L1108" s="9"/>
      <c r="M1108" s="9"/>
      <c r="N1108" s="7"/>
      <c r="P1108" s="8"/>
      <c r="Q1108" s="5"/>
      <c r="R1108" s="5"/>
      <c r="AF1108" s="14"/>
    </row>
    <row r="1109" spans="1:32" customFormat="1" x14ac:dyDescent="0.25">
      <c r="A1109" s="9"/>
      <c r="C1109" s="14"/>
      <c r="E1109" t="str">
        <f>IF(ISNA(VLOOKUP(C1109,P:Q,2,0)),"",VLOOKUP(C1109,P:Q,2,0))</f>
        <v/>
      </c>
      <c r="F1109" s="15" t="str">
        <f>IF(ISNA(VLOOKUP(C1109,P:R,3,0)),"",VLOOKUP(C1109,P:R,3,0))</f>
        <v/>
      </c>
      <c r="G1109">
        <f>ROUND(IF(D1109&gt;0,0,ABS(D1109)),2)</f>
        <v>0</v>
      </c>
      <c r="H1109">
        <f>ROUND(IF(D1109&gt;0,D1109,),2)</f>
        <v>0</v>
      </c>
      <c r="K1109" s="7"/>
      <c r="L1109" s="9"/>
      <c r="M1109" s="9"/>
      <c r="N1109" s="7"/>
      <c r="P1109" s="8"/>
      <c r="Q1109" s="5"/>
      <c r="R1109" s="5"/>
      <c r="AF1109" s="14"/>
    </row>
    <row r="1110" spans="1:32" customFormat="1" x14ac:dyDescent="0.25">
      <c r="A1110" s="9"/>
      <c r="C1110" s="14"/>
      <c r="E1110" t="str">
        <f>IF(ISNA(VLOOKUP(C1110,P:Q,2,0)),"",VLOOKUP(C1110,P:Q,2,0))</f>
        <v/>
      </c>
      <c r="F1110" s="15" t="str">
        <f>IF(ISNA(VLOOKUP(C1110,P:R,3,0)),"",VLOOKUP(C1110,P:R,3,0))</f>
        <v/>
      </c>
      <c r="G1110">
        <f>ROUND(IF(D1110&gt;0,0,ABS(D1110)),2)</f>
        <v>0</v>
      </c>
      <c r="H1110">
        <f>ROUND(IF(D1110&gt;0,D1110,),2)</f>
        <v>0</v>
      </c>
      <c r="K1110" s="7"/>
      <c r="L1110" s="9"/>
      <c r="M1110" s="9"/>
      <c r="N1110" s="7"/>
      <c r="P1110" s="8"/>
      <c r="Q1110" s="5"/>
      <c r="R1110" s="5"/>
      <c r="AF1110" s="14"/>
    </row>
    <row r="1111" spans="1:32" customFormat="1" x14ac:dyDescent="0.25">
      <c r="A1111" s="9"/>
      <c r="C1111" s="14"/>
      <c r="E1111" t="str">
        <f>IF(ISNA(VLOOKUP(C1111,P:Q,2,0)),"",VLOOKUP(C1111,P:Q,2,0))</f>
        <v/>
      </c>
      <c r="F1111" s="15" t="str">
        <f>IF(ISNA(VLOOKUP(C1111,P:R,3,0)),"",VLOOKUP(C1111,P:R,3,0))</f>
        <v/>
      </c>
      <c r="G1111">
        <f>ROUND(IF(D1111&gt;0,0,ABS(D1111)),2)</f>
        <v>0</v>
      </c>
      <c r="H1111">
        <f>ROUND(IF(D1111&gt;0,D1111,),2)</f>
        <v>0</v>
      </c>
      <c r="K1111" s="7"/>
      <c r="L1111" s="9"/>
      <c r="M1111" s="9"/>
      <c r="N1111" s="7"/>
      <c r="P1111" s="8"/>
      <c r="Q1111" s="5"/>
      <c r="R1111" s="5"/>
      <c r="AF1111" s="14"/>
    </row>
    <row r="1112" spans="1:32" customFormat="1" x14ac:dyDescent="0.25">
      <c r="A1112" s="9"/>
      <c r="C1112" s="14"/>
      <c r="E1112" t="str">
        <f>IF(ISNA(VLOOKUP(C1112,P:Q,2,0)),"",VLOOKUP(C1112,P:Q,2,0))</f>
        <v/>
      </c>
      <c r="F1112" s="15" t="str">
        <f>IF(ISNA(VLOOKUP(C1112,P:R,3,0)),"",VLOOKUP(C1112,P:R,3,0))</f>
        <v/>
      </c>
      <c r="G1112">
        <f>ROUND(IF(D1112&gt;0,0,ABS(D1112)),2)</f>
        <v>0</v>
      </c>
      <c r="H1112">
        <f>ROUND(IF(D1112&gt;0,D1112,),2)</f>
        <v>0</v>
      </c>
      <c r="K1112" s="7"/>
      <c r="L1112" s="9"/>
      <c r="M1112" s="9"/>
      <c r="N1112" s="7"/>
      <c r="P1112" s="8"/>
      <c r="Q1112" s="5"/>
      <c r="R1112" s="5"/>
      <c r="AF1112" s="14"/>
    </row>
    <row r="1113" spans="1:32" customFormat="1" x14ac:dyDescent="0.25">
      <c r="A1113" s="9"/>
      <c r="C1113" s="14"/>
      <c r="E1113" t="str">
        <f>IF(ISNA(VLOOKUP(C1113,P:Q,2,0)),"",VLOOKUP(C1113,P:Q,2,0))</f>
        <v/>
      </c>
      <c r="F1113" s="15" t="str">
        <f>IF(ISNA(VLOOKUP(C1113,P:R,3,0)),"",VLOOKUP(C1113,P:R,3,0))</f>
        <v/>
      </c>
      <c r="G1113">
        <f>ROUND(IF(D1113&gt;0,0,ABS(D1113)),2)</f>
        <v>0</v>
      </c>
      <c r="H1113">
        <f>ROUND(IF(D1113&gt;0,D1113,),2)</f>
        <v>0</v>
      </c>
      <c r="K1113" s="7"/>
      <c r="L1113" s="9"/>
      <c r="M1113" s="9"/>
      <c r="N1113" s="7"/>
      <c r="P1113" s="8"/>
      <c r="Q1113" s="5"/>
      <c r="R1113" s="5"/>
      <c r="AF1113" s="14"/>
    </row>
    <row r="1114" spans="1:32" customFormat="1" x14ac:dyDescent="0.25">
      <c r="A1114" s="9"/>
      <c r="C1114" s="14"/>
      <c r="E1114" t="str">
        <f>IF(ISNA(VLOOKUP(C1114,P:Q,2,0)),"",VLOOKUP(C1114,P:Q,2,0))</f>
        <v/>
      </c>
      <c r="F1114" s="15" t="str">
        <f>IF(ISNA(VLOOKUP(C1114,P:R,3,0)),"",VLOOKUP(C1114,P:R,3,0))</f>
        <v/>
      </c>
      <c r="G1114">
        <f>ROUND(IF(D1114&gt;0,0,ABS(D1114)),2)</f>
        <v>0</v>
      </c>
      <c r="H1114">
        <f>ROUND(IF(D1114&gt;0,D1114,),2)</f>
        <v>0</v>
      </c>
      <c r="K1114" s="7"/>
      <c r="L1114" s="9"/>
      <c r="M1114" s="9"/>
      <c r="N1114" s="7"/>
      <c r="P1114" s="8"/>
      <c r="Q1114" s="5"/>
      <c r="R1114" s="5"/>
      <c r="AF1114" s="14"/>
    </row>
    <row r="1115" spans="1:32" customFormat="1" x14ac:dyDescent="0.25">
      <c r="A1115" s="9"/>
      <c r="C1115" s="14"/>
      <c r="E1115" t="str">
        <f>IF(ISNA(VLOOKUP(C1115,P:Q,2,0)),"",VLOOKUP(C1115,P:Q,2,0))</f>
        <v/>
      </c>
      <c r="F1115" s="15" t="str">
        <f>IF(ISNA(VLOOKUP(C1115,P:R,3,0)),"",VLOOKUP(C1115,P:R,3,0))</f>
        <v/>
      </c>
      <c r="G1115">
        <f>ROUND(IF(D1115&gt;0,0,ABS(D1115)),2)</f>
        <v>0</v>
      </c>
      <c r="H1115">
        <f>ROUND(IF(D1115&gt;0,D1115,),2)</f>
        <v>0</v>
      </c>
      <c r="K1115" s="7"/>
      <c r="L1115" s="9"/>
      <c r="M1115" s="9"/>
      <c r="N1115" s="7"/>
      <c r="P1115" s="8"/>
      <c r="Q1115" s="5"/>
      <c r="R1115" s="5"/>
      <c r="AF1115" s="14"/>
    </row>
    <row r="1116" spans="1:32" customFormat="1" x14ac:dyDescent="0.25">
      <c r="A1116" s="9"/>
      <c r="C1116" s="14"/>
      <c r="E1116" t="str">
        <f>IF(ISNA(VLOOKUP(C1116,P:Q,2,0)),"",VLOOKUP(C1116,P:Q,2,0))</f>
        <v/>
      </c>
      <c r="F1116" s="15" t="str">
        <f>IF(ISNA(VLOOKUP(C1116,P:R,3,0)),"",VLOOKUP(C1116,P:R,3,0))</f>
        <v/>
      </c>
      <c r="G1116">
        <f>ROUND(IF(D1116&gt;0,0,ABS(D1116)),2)</f>
        <v>0</v>
      </c>
      <c r="H1116">
        <f>ROUND(IF(D1116&gt;0,D1116,),2)</f>
        <v>0</v>
      </c>
      <c r="K1116" s="7"/>
      <c r="L1116" s="9"/>
      <c r="M1116" s="9"/>
      <c r="N1116" s="7"/>
      <c r="P1116" s="8"/>
      <c r="Q1116" s="5"/>
      <c r="R1116" s="5"/>
      <c r="AF1116" s="14"/>
    </row>
    <row r="1117" spans="1:32" customFormat="1" x14ac:dyDescent="0.25">
      <c r="A1117" s="9"/>
      <c r="C1117" s="14"/>
      <c r="E1117" t="str">
        <f>IF(ISNA(VLOOKUP(C1117,P:Q,2,0)),"",VLOOKUP(C1117,P:Q,2,0))</f>
        <v/>
      </c>
      <c r="F1117" s="15" t="str">
        <f>IF(ISNA(VLOOKUP(C1117,P:R,3,0)),"",VLOOKUP(C1117,P:R,3,0))</f>
        <v/>
      </c>
      <c r="G1117">
        <f>ROUND(IF(D1117&gt;0,0,ABS(D1117)),2)</f>
        <v>0</v>
      </c>
      <c r="H1117">
        <f>ROUND(IF(D1117&gt;0,D1117,),2)</f>
        <v>0</v>
      </c>
      <c r="K1117" s="7"/>
      <c r="L1117" s="9"/>
      <c r="M1117" s="9"/>
      <c r="N1117" s="7"/>
      <c r="P1117" s="8"/>
      <c r="Q1117" s="5"/>
      <c r="R1117" s="5"/>
      <c r="AF1117" s="14"/>
    </row>
    <row r="1118" spans="1:32" customFormat="1" x14ac:dyDescent="0.25">
      <c r="A1118" s="9"/>
      <c r="C1118" s="14"/>
      <c r="E1118" t="str">
        <f>IF(ISNA(VLOOKUP(C1118,P:Q,2,0)),"",VLOOKUP(C1118,P:Q,2,0))</f>
        <v/>
      </c>
      <c r="F1118" s="15" t="str">
        <f>IF(ISNA(VLOOKUP(C1118,P:R,3,0)),"",VLOOKUP(C1118,P:R,3,0))</f>
        <v/>
      </c>
      <c r="G1118">
        <f>ROUND(IF(D1118&gt;0,0,ABS(D1118)),2)</f>
        <v>0</v>
      </c>
      <c r="H1118">
        <f>ROUND(IF(D1118&gt;0,D1118,),2)</f>
        <v>0</v>
      </c>
      <c r="K1118" s="7"/>
      <c r="L1118" s="9"/>
      <c r="M1118" s="9"/>
      <c r="N1118" s="7"/>
      <c r="P1118" s="8"/>
      <c r="Q1118" s="5"/>
      <c r="R1118" s="5"/>
      <c r="AF1118" s="14"/>
    </row>
    <row r="1119" spans="1:32" customFormat="1" x14ac:dyDescent="0.25">
      <c r="A1119" s="9"/>
      <c r="C1119" s="14"/>
      <c r="E1119" t="str">
        <f>IF(ISNA(VLOOKUP(C1119,P:Q,2,0)),"",VLOOKUP(C1119,P:Q,2,0))</f>
        <v/>
      </c>
      <c r="F1119" s="15" t="str">
        <f>IF(ISNA(VLOOKUP(C1119,P:R,3,0)),"",VLOOKUP(C1119,P:R,3,0))</f>
        <v/>
      </c>
      <c r="G1119">
        <f>ROUND(IF(D1119&gt;0,0,ABS(D1119)),2)</f>
        <v>0</v>
      </c>
      <c r="H1119">
        <f>ROUND(IF(D1119&gt;0,D1119,),2)</f>
        <v>0</v>
      </c>
      <c r="K1119" s="7"/>
      <c r="L1119" s="9"/>
      <c r="M1119" s="9"/>
      <c r="N1119" s="7"/>
      <c r="P1119" s="8"/>
      <c r="Q1119" s="5"/>
      <c r="R1119" s="5"/>
      <c r="AF1119" s="14"/>
    </row>
    <row r="1120" spans="1:32" customFormat="1" x14ac:dyDescent="0.25">
      <c r="A1120" s="9"/>
      <c r="C1120" s="14"/>
      <c r="E1120" t="str">
        <f>IF(ISNA(VLOOKUP(C1120,P:Q,2,0)),"",VLOOKUP(C1120,P:Q,2,0))</f>
        <v/>
      </c>
      <c r="F1120" s="15" t="str">
        <f>IF(ISNA(VLOOKUP(C1120,P:R,3,0)),"",VLOOKUP(C1120,P:R,3,0))</f>
        <v/>
      </c>
      <c r="G1120">
        <f>ROUND(IF(D1120&gt;0,0,ABS(D1120)),2)</f>
        <v>0</v>
      </c>
      <c r="H1120">
        <f>ROUND(IF(D1120&gt;0,D1120,),2)</f>
        <v>0</v>
      </c>
      <c r="K1120" s="7"/>
      <c r="L1120" s="9"/>
      <c r="M1120" s="9"/>
      <c r="N1120" s="7"/>
      <c r="P1120" s="8"/>
      <c r="Q1120" s="5"/>
      <c r="R1120" s="5"/>
      <c r="AF1120" s="14"/>
    </row>
    <row r="1121" spans="1:32" customFormat="1" x14ac:dyDescent="0.25">
      <c r="A1121" s="9"/>
      <c r="C1121" s="14"/>
      <c r="E1121" t="str">
        <f>IF(ISNA(VLOOKUP(C1121,P:Q,2,0)),"",VLOOKUP(C1121,P:Q,2,0))</f>
        <v/>
      </c>
      <c r="F1121" s="15" t="str">
        <f>IF(ISNA(VLOOKUP(C1121,P:R,3,0)),"",VLOOKUP(C1121,P:R,3,0))</f>
        <v/>
      </c>
      <c r="G1121">
        <f>ROUND(IF(D1121&gt;0,0,ABS(D1121)),2)</f>
        <v>0</v>
      </c>
      <c r="H1121">
        <f>ROUND(IF(D1121&gt;0,D1121,),2)</f>
        <v>0</v>
      </c>
      <c r="K1121" s="7"/>
      <c r="L1121" s="9"/>
      <c r="M1121" s="9"/>
      <c r="N1121" s="7"/>
      <c r="P1121" s="8"/>
      <c r="Q1121" s="5"/>
      <c r="R1121" s="5"/>
      <c r="AF1121" s="14"/>
    </row>
    <row r="1122" spans="1:32" customFormat="1" x14ac:dyDescent="0.25">
      <c r="A1122" s="9"/>
      <c r="C1122" s="14"/>
      <c r="E1122" t="str">
        <f>IF(ISNA(VLOOKUP(C1122,P:Q,2,0)),"",VLOOKUP(C1122,P:Q,2,0))</f>
        <v/>
      </c>
      <c r="F1122" s="15" t="str">
        <f>IF(ISNA(VLOOKUP(C1122,P:R,3,0)),"",VLOOKUP(C1122,P:R,3,0))</f>
        <v/>
      </c>
      <c r="G1122">
        <f>ROUND(IF(D1122&gt;0,0,ABS(D1122)),2)</f>
        <v>0</v>
      </c>
      <c r="H1122">
        <f>ROUND(IF(D1122&gt;0,D1122,),2)</f>
        <v>0</v>
      </c>
      <c r="K1122" s="7"/>
      <c r="L1122" s="9"/>
      <c r="M1122" s="9"/>
      <c r="N1122" s="7"/>
      <c r="P1122" s="8"/>
      <c r="Q1122" s="5"/>
      <c r="R1122" s="5"/>
      <c r="AF1122" s="14"/>
    </row>
    <row r="1123" spans="1:32" customFormat="1" x14ac:dyDescent="0.25">
      <c r="A1123" s="9"/>
      <c r="C1123" s="14"/>
      <c r="E1123" t="str">
        <f>IF(ISNA(VLOOKUP(C1123,P:Q,2,0)),"",VLOOKUP(C1123,P:Q,2,0))</f>
        <v/>
      </c>
      <c r="F1123" s="15" t="str">
        <f>IF(ISNA(VLOOKUP(C1123,P:R,3,0)),"",VLOOKUP(C1123,P:R,3,0))</f>
        <v/>
      </c>
      <c r="G1123">
        <f>ROUND(IF(D1123&gt;0,0,ABS(D1123)),2)</f>
        <v>0</v>
      </c>
      <c r="H1123">
        <f>ROUND(IF(D1123&gt;0,D1123,),2)</f>
        <v>0</v>
      </c>
      <c r="K1123" s="7"/>
      <c r="L1123" s="9"/>
      <c r="M1123" s="9"/>
      <c r="N1123" s="7"/>
      <c r="P1123" s="8"/>
      <c r="Q1123" s="5"/>
      <c r="R1123" s="5"/>
      <c r="AF1123" s="14"/>
    </row>
    <row r="1124" spans="1:32" customFormat="1" x14ac:dyDescent="0.25">
      <c r="A1124" s="9"/>
      <c r="C1124" s="14"/>
      <c r="E1124" t="str">
        <f>IF(ISNA(VLOOKUP(C1124,P:Q,2,0)),"",VLOOKUP(C1124,P:Q,2,0))</f>
        <v/>
      </c>
      <c r="F1124" s="15" t="str">
        <f>IF(ISNA(VLOOKUP(C1124,P:R,3,0)),"",VLOOKUP(C1124,P:R,3,0))</f>
        <v/>
      </c>
      <c r="G1124">
        <f>ROUND(IF(D1124&gt;0,0,ABS(D1124)),2)</f>
        <v>0</v>
      </c>
      <c r="H1124">
        <f>ROUND(IF(D1124&gt;0,D1124,),2)</f>
        <v>0</v>
      </c>
      <c r="K1124" s="7"/>
      <c r="L1124" s="9"/>
      <c r="M1124" s="9"/>
      <c r="N1124" s="7"/>
      <c r="P1124" s="8"/>
      <c r="Q1124" s="5"/>
      <c r="R1124" s="5"/>
      <c r="AF1124" s="14"/>
    </row>
    <row r="1125" spans="1:32" customFormat="1" x14ac:dyDescent="0.25">
      <c r="A1125" s="9"/>
      <c r="C1125" s="14"/>
      <c r="E1125" t="str">
        <f>IF(ISNA(VLOOKUP(C1125,P:Q,2,0)),"",VLOOKUP(C1125,P:Q,2,0))</f>
        <v/>
      </c>
      <c r="F1125" s="15" t="str">
        <f>IF(ISNA(VLOOKUP(C1125,P:R,3,0)),"",VLOOKUP(C1125,P:R,3,0))</f>
        <v/>
      </c>
      <c r="G1125">
        <f>ROUND(IF(D1125&gt;0,0,ABS(D1125)),2)</f>
        <v>0</v>
      </c>
      <c r="H1125">
        <f>ROUND(IF(D1125&gt;0,D1125,),2)</f>
        <v>0</v>
      </c>
      <c r="K1125" s="7"/>
      <c r="L1125" s="9"/>
      <c r="M1125" s="9"/>
      <c r="N1125" s="7"/>
      <c r="P1125" s="8"/>
      <c r="Q1125" s="5"/>
      <c r="R1125" s="5"/>
      <c r="AF1125" s="14"/>
    </row>
    <row r="1126" spans="1:32" customFormat="1" x14ac:dyDescent="0.25">
      <c r="A1126" s="9"/>
      <c r="C1126" s="14"/>
      <c r="E1126" t="str">
        <f>IF(ISNA(VLOOKUP(C1126,P:Q,2,0)),"",VLOOKUP(C1126,P:Q,2,0))</f>
        <v/>
      </c>
      <c r="F1126" s="15" t="str">
        <f>IF(ISNA(VLOOKUP(C1126,P:R,3,0)),"",VLOOKUP(C1126,P:R,3,0))</f>
        <v/>
      </c>
      <c r="G1126">
        <f>ROUND(IF(D1126&gt;0,0,ABS(D1126)),2)</f>
        <v>0</v>
      </c>
      <c r="H1126">
        <f>ROUND(IF(D1126&gt;0,D1126,),2)</f>
        <v>0</v>
      </c>
      <c r="K1126" s="7"/>
      <c r="L1126" s="9"/>
      <c r="M1126" s="9"/>
      <c r="N1126" s="7"/>
      <c r="P1126" s="8"/>
      <c r="Q1126" s="5"/>
      <c r="R1126" s="5"/>
      <c r="AF1126" s="14"/>
    </row>
    <row r="1127" spans="1:32" customFormat="1" x14ac:dyDescent="0.25">
      <c r="A1127" s="9"/>
      <c r="C1127" s="14"/>
      <c r="E1127" t="str">
        <f>IF(ISNA(VLOOKUP(C1127,P:Q,2,0)),"",VLOOKUP(C1127,P:Q,2,0))</f>
        <v/>
      </c>
      <c r="F1127" s="15" t="str">
        <f>IF(ISNA(VLOOKUP(C1127,P:R,3,0)),"",VLOOKUP(C1127,P:R,3,0))</f>
        <v/>
      </c>
      <c r="G1127">
        <f>ROUND(IF(D1127&gt;0,0,ABS(D1127)),2)</f>
        <v>0</v>
      </c>
      <c r="H1127">
        <f>ROUND(IF(D1127&gt;0,D1127,),2)</f>
        <v>0</v>
      </c>
      <c r="K1127" s="7"/>
      <c r="L1127" s="9"/>
      <c r="M1127" s="9"/>
      <c r="N1127" s="7"/>
      <c r="P1127" s="8"/>
      <c r="Q1127" s="5"/>
      <c r="R1127" s="5"/>
      <c r="AF1127" s="14"/>
    </row>
    <row r="1128" spans="1:32" customFormat="1" x14ac:dyDescent="0.25">
      <c r="A1128" s="9"/>
      <c r="C1128" s="14"/>
      <c r="E1128" t="str">
        <f>IF(ISNA(VLOOKUP(C1128,P:Q,2,0)),"",VLOOKUP(C1128,P:Q,2,0))</f>
        <v/>
      </c>
      <c r="F1128" s="15" t="str">
        <f>IF(ISNA(VLOOKUP(C1128,P:R,3,0)),"",VLOOKUP(C1128,P:R,3,0))</f>
        <v/>
      </c>
      <c r="G1128">
        <f>ROUND(IF(D1128&gt;0,0,ABS(D1128)),2)</f>
        <v>0</v>
      </c>
      <c r="H1128">
        <f>ROUND(IF(D1128&gt;0,D1128,),2)</f>
        <v>0</v>
      </c>
      <c r="K1128" s="7"/>
      <c r="L1128" s="9"/>
      <c r="M1128" s="9"/>
      <c r="N1128" s="7"/>
      <c r="P1128" s="8"/>
      <c r="Q1128" s="5"/>
      <c r="R1128" s="5"/>
      <c r="AF1128" s="14"/>
    </row>
    <row r="1129" spans="1:32" customFormat="1" x14ac:dyDescent="0.25">
      <c r="A1129" s="9"/>
      <c r="C1129" s="14"/>
      <c r="E1129" t="str">
        <f>IF(ISNA(VLOOKUP(C1129,P:Q,2,0)),"",VLOOKUP(C1129,P:Q,2,0))</f>
        <v/>
      </c>
      <c r="F1129" s="15" t="str">
        <f>IF(ISNA(VLOOKUP(C1129,P:R,3,0)),"",VLOOKUP(C1129,P:R,3,0))</f>
        <v/>
      </c>
      <c r="G1129">
        <f>ROUND(IF(D1129&gt;0,0,ABS(D1129)),2)</f>
        <v>0</v>
      </c>
      <c r="H1129">
        <f>ROUND(IF(D1129&gt;0,D1129,),2)</f>
        <v>0</v>
      </c>
      <c r="K1129" s="7"/>
      <c r="L1129" s="9"/>
      <c r="M1129" s="9"/>
      <c r="N1129" s="7"/>
      <c r="P1129" s="8"/>
      <c r="Q1129" s="5"/>
      <c r="R1129" s="5"/>
      <c r="AF1129" s="14"/>
    </row>
    <row r="1130" spans="1:32" customFormat="1" x14ac:dyDescent="0.25">
      <c r="A1130" s="9"/>
      <c r="C1130" s="14"/>
      <c r="E1130" t="str">
        <f>IF(ISNA(VLOOKUP(C1130,P:Q,2,0)),"",VLOOKUP(C1130,P:Q,2,0))</f>
        <v/>
      </c>
      <c r="F1130" s="15" t="str">
        <f>IF(ISNA(VLOOKUP(C1130,P:R,3,0)),"",VLOOKUP(C1130,P:R,3,0))</f>
        <v/>
      </c>
      <c r="G1130">
        <f>ROUND(IF(D1130&gt;0,0,ABS(D1130)),2)</f>
        <v>0</v>
      </c>
      <c r="H1130">
        <f>ROUND(IF(D1130&gt;0,D1130,),2)</f>
        <v>0</v>
      </c>
      <c r="K1130" s="7"/>
      <c r="L1130" s="9"/>
      <c r="M1130" s="9"/>
      <c r="N1130" s="7"/>
      <c r="P1130" s="8"/>
      <c r="Q1130" s="5"/>
      <c r="R1130" s="5"/>
      <c r="AF1130" s="14"/>
    </row>
    <row r="1131" spans="1:32" customFormat="1" x14ac:dyDescent="0.25">
      <c r="A1131" s="9"/>
      <c r="C1131" s="14"/>
      <c r="E1131" t="str">
        <f>IF(ISNA(VLOOKUP(C1131,P:Q,2,0)),"",VLOOKUP(C1131,P:Q,2,0))</f>
        <v/>
      </c>
      <c r="F1131" s="15" t="str">
        <f>IF(ISNA(VLOOKUP(C1131,P:R,3,0)),"",VLOOKUP(C1131,P:R,3,0))</f>
        <v/>
      </c>
      <c r="G1131">
        <f>ROUND(IF(D1131&gt;0,0,ABS(D1131)),2)</f>
        <v>0</v>
      </c>
      <c r="H1131">
        <f>ROUND(IF(D1131&gt;0,D1131,),2)</f>
        <v>0</v>
      </c>
      <c r="K1131" s="7"/>
      <c r="L1131" s="9"/>
      <c r="M1131" s="9"/>
      <c r="N1131" s="7"/>
      <c r="P1131" s="8"/>
      <c r="Q1131" s="5"/>
      <c r="R1131" s="5"/>
      <c r="AF1131" s="14"/>
    </row>
    <row r="1132" spans="1:32" customFormat="1" x14ac:dyDescent="0.25">
      <c r="A1132" s="9"/>
      <c r="C1132" s="14"/>
      <c r="E1132" t="str">
        <f>IF(ISNA(VLOOKUP(C1132,P:Q,2,0)),"",VLOOKUP(C1132,P:Q,2,0))</f>
        <v/>
      </c>
      <c r="F1132" s="15" t="str">
        <f>IF(ISNA(VLOOKUP(C1132,P:R,3,0)),"",VLOOKUP(C1132,P:R,3,0))</f>
        <v/>
      </c>
      <c r="G1132">
        <f>ROUND(IF(D1132&gt;0,0,ABS(D1132)),2)</f>
        <v>0</v>
      </c>
      <c r="H1132">
        <f>ROUND(IF(D1132&gt;0,D1132,),2)</f>
        <v>0</v>
      </c>
      <c r="K1132" s="7"/>
      <c r="L1132" s="9"/>
      <c r="M1132" s="9"/>
      <c r="N1132" s="7"/>
      <c r="P1132" s="8"/>
      <c r="Q1132" s="5"/>
      <c r="R1132" s="5"/>
      <c r="AF1132" s="14"/>
    </row>
    <row r="1133" spans="1:32" customFormat="1" x14ac:dyDescent="0.25">
      <c r="A1133" s="9"/>
      <c r="C1133" s="14"/>
      <c r="E1133" t="str">
        <f>IF(ISNA(VLOOKUP(C1133,P:Q,2,0)),"",VLOOKUP(C1133,P:Q,2,0))</f>
        <v/>
      </c>
      <c r="F1133" s="15" t="str">
        <f>IF(ISNA(VLOOKUP(C1133,P:R,3,0)),"",VLOOKUP(C1133,P:R,3,0))</f>
        <v/>
      </c>
      <c r="G1133">
        <f>ROUND(IF(D1133&gt;0,0,ABS(D1133)),2)</f>
        <v>0</v>
      </c>
      <c r="H1133">
        <f>ROUND(IF(D1133&gt;0,D1133,),2)</f>
        <v>0</v>
      </c>
      <c r="K1133" s="7"/>
      <c r="L1133" s="9"/>
      <c r="M1133" s="9"/>
      <c r="N1133" s="7"/>
      <c r="P1133" s="8"/>
      <c r="Q1133" s="5"/>
      <c r="R1133" s="5"/>
      <c r="AF1133" s="14"/>
    </row>
    <row r="1134" spans="1:32" customFormat="1" x14ac:dyDescent="0.25">
      <c r="A1134" s="9"/>
      <c r="C1134" s="14"/>
      <c r="E1134" t="str">
        <f>IF(ISNA(VLOOKUP(C1134,P:Q,2,0)),"",VLOOKUP(C1134,P:Q,2,0))</f>
        <v/>
      </c>
      <c r="F1134" s="15" t="str">
        <f>IF(ISNA(VLOOKUP(C1134,P:R,3,0)),"",VLOOKUP(C1134,P:R,3,0))</f>
        <v/>
      </c>
      <c r="G1134">
        <f>ROUND(IF(D1134&gt;0,0,ABS(D1134)),2)</f>
        <v>0</v>
      </c>
      <c r="H1134">
        <f>ROUND(IF(D1134&gt;0,D1134,),2)</f>
        <v>0</v>
      </c>
      <c r="K1134" s="7"/>
      <c r="L1134" s="9"/>
      <c r="M1134" s="9"/>
      <c r="N1134" s="7"/>
      <c r="P1134" s="8"/>
      <c r="Q1134" s="5"/>
      <c r="R1134" s="5"/>
      <c r="AF1134" s="14"/>
    </row>
    <row r="1135" spans="1:32" customFormat="1" x14ac:dyDescent="0.25">
      <c r="A1135" s="9"/>
      <c r="C1135" s="14"/>
      <c r="E1135" t="str">
        <f>IF(ISNA(VLOOKUP(C1135,P:Q,2,0)),"",VLOOKUP(C1135,P:Q,2,0))</f>
        <v/>
      </c>
      <c r="F1135" s="15" t="str">
        <f>IF(ISNA(VLOOKUP(C1135,P:R,3,0)),"",VLOOKUP(C1135,P:R,3,0))</f>
        <v/>
      </c>
      <c r="G1135">
        <f>ROUND(IF(D1135&gt;0,0,ABS(D1135)),2)</f>
        <v>0</v>
      </c>
      <c r="H1135">
        <f>ROUND(IF(D1135&gt;0,D1135,),2)</f>
        <v>0</v>
      </c>
      <c r="K1135" s="7"/>
      <c r="L1135" s="9"/>
      <c r="M1135" s="9"/>
      <c r="N1135" s="7"/>
      <c r="P1135" s="8"/>
      <c r="Q1135" s="5"/>
      <c r="R1135" s="5"/>
      <c r="AF1135" s="14"/>
    </row>
    <row r="1136" spans="1:32" customFormat="1" x14ac:dyDescent="0.25">
      <c r="A1136" s="9"/>
      <c r="C1136" s="14"/>
      <c r="E1136" t="str">
        <f>IF(ISNA(VLOOKUP(C1136,P:Q,2,0)),"",VLOOKUP(C1136,P:Q,2,0))</f>
        <v/>
      </c>
      <c r="F1136" s="15" t="str">
        <f>IF(ISNA(VLOOKUP(C1136,P:R,3,0)),"",VLOOKUP(C1136,P:R,3,0))</f>
        <v/>
      </c>
      <c r="G1136">
        <f>ROUND(IF(D1136&gt;0,0,ABS(D1136)),2)</f>
        <v>0</v>
      </c>
      <c r="H1136">
        <f>ROUND(IF(D1136&gt;0,D1136,),2)</f>
        <v>0</v>
      </c>
      <c r="K1136" s="7"/>
      <c r="L1136" s="9"/>
      <c r="M1136" s="9"/>
      <c r="N1136" s="7"/>
      <c r="P1136" s="8"/>
      <c r="Q1136" s="5"/>
      <c r="R1136" s="5"/>
      <c r="AF1136" s="14"/>
    </row>
    <row r="1137" spans="1:32" customFormat="1" x14ac:dyDescent="0.25">
      <c r="A1137" s="9"/>
      <c r="C1137" s="14"/>
      <c r="E1137" t="str">
        <f>IF(ISNA(VLOOKUP(C1137,P:Q,2,0)),"",VLOOKUP(C1137,P:Q,2,0))</f>
        <v/>
      </c>
      <c r="F1137" s="15" t="str">
        <f>IF(ISNA(VLOOKUP(C1137,P:R,3,0)),"",VLOOKUP(C1137,P:R,3,0))</f>
        <v/>
      </c>
      <c r="G1137">
        <f>ROUND(IF(D1137&gt;0,0,ABS(D1137)),2)</f>
        <v>0</v>
      </c>
      <c r="H1137">
        <f>ROUND(IF(D1137&gt;0,D1137,),2)</f>
        <v>0</v>
      </c>
      <c r="K1137" s="7"/>
      <c r="L1137" s="9"/>
      <c r="M1137" s="9"/>
      <c r="N1137" s="7"/>
      <c r="P1137" s="8"/>
      <c r="Q1137" s="5"/>
      <c r="R1137" s="5"/>
      <c r="AF1137" s="14"/>
    </row>
    <row r="1138" spans="1:32" customFormat="1" x14ac:dyDescent="0.25">
      <c r="A1138" s="9"/>
      <c r="C1138" s="14"/>
      <c r="E1138" t="str">
        <f>IF(ISNA(VLOOKUP(C1138,P:Q,2,0)),"",VLOOKUP(C1138,P:Q,2,0))</f>
        <v/>
      </c>
      <c r="F1138" s="15" t="str">
        <f>IF(ISNA(VLOOKUP(C1138,P:R,3,0)),"",VLOOKUP(C1138,P:R,3,0))</f>
        <v/>
      </c>
      <c r="G1138">
        <f>ROUND(IF(D1138&gt;0,0,ABS(D1138)),2)</f>
        <v>0</v>
      </c>
      <c r="H1138">
        <f>ROUND(IF(D1138&gt;0,D1138,),2)</f>
        <v>0</v>
      </c>
      <c r="K1138" s="7"/>
      <c r="L1138" s="9"/>
      <c r="M1138" s="9"/>
      <c r="N1138" s="7"/>
      <c r="P1138" s="8"/>
      <c r="Q1138" s="5"/>
      <c r="R1138" s="5"/>
      <c r="AF1138" s="14"/>
    </row>
    <row r="1139" spans="1:32" customFormat="1" x14ac:dyDescent="0.25">
      <c r="A1139" s="9"/>
      <c r="C1139" s="14"/>
      <c r="E1139" t="str">
        <f>IF(ISNA(VLOOKUP(C1139,P:Q,2,0)),"",VLOOKUP(C1139,P:Q,2,0))</f>
        <v/>
      </c>
      <c r="F1139" s="15" t="str">
        <f>IF(ISNA(VLOOKUP(C1139,P:R,3,0)),"",VLOOKUP(C1139,P:R,3,0))</f>
        <v/>
      </c>
      <c r="G1139">
        <f>ROUND(IF(D1139&gt;0,0,ABS(D1139)),2)</f>
        <v>0</v>
      </c>
      <c r="H1139">
        <f>ROUND(IF(D1139&gt;0,D1139,),2)</f>
        <v>0</v>
      </c>
      <c r="K1139" s="7"/>
      <c r="N1139" s="7"/>
      <c r="P1139" s="8"/>
      <c r="Q1139" s="5"/>
      <c r="R1139" s="5"/>
      <c r="AF1139" s="14"/>
    </row>
    <row r="1140" spans="1:32" customFormat="1" x14ac:dyDescent="0.25">
      <c r="A1140" s="9"/>
      <c r="C1140" s="14"/>
      <c r="E1140" t="str">
        <f>IF(ISNA(VLOOKUP(C1140,P:Q,2,0)),"",VLOOKUP(C1140,P:Q,2,0))</f>
        <v/>
      </c>
      <c r="F1140" s="15" t="str">
        <f>IF(ISNA(VLOOKUP(C1140,P:R,3,0)),"",VLOOKUP(C1140,P:R,3,0))</f>
        <v/>
      </c>
      <c r="G1140">
        <f>ROUND(IF(D1140&gt;0,0,ABS(D1140)),2)</f>
        <v>0</v>
      </c>
      <c r="H1140">
        <f>ROUND(IF(D1140&gt;0,D1140,),2)</f>
        <v>0</v>
      </c>
      <c r="K1140" s="7"/>
      <c r="N1140" s="7"/>
      <c r="P1140" s="8"/>
      <c r="Q1140" s="5"/>
      <c r="R1140" s="5"/>
      <c r="AF1140" s="14"/>
    </row>
    <row r="1141" spans="1:32" customFormat="1" x14ac:dyDescent="0.25">
      <c r="A1141" s="9"/>
      <c r="C1141" s="14"/>
      <c r="E1141" t="str">
        <f>IF(ISNA(VLOOKUP(C1141,P:Q,2,0)),"",VLOOKUP(C1141,P:Q,2,0))</f>
        <v/>
      </c>
      <c r="F1141" s="15" t="str">
        <f>IF(ISNA(VLOOKUP(C1141,P:R,3,0)),"",VLOOKUP(C1141,P:R,3,0))</f>
        <v/>
      </c>
      <c r="G1141">
        <f>ROUND(IF(D1141&gt;0,0,ABS(D1141)),2)</f>
        <v>0</v>
      </c>
      <c r="H1141">
        <f>ROUND(IF(D1141&gt;0,D1141,),2)</f>
        <v>0</v>
      </c>
      <c r="K1141" s="7"/>
      <c r="N1141" s="7"/>
      <c r="P1141" s="8"/>
      <c r="Q1141" s="5"/>
      <c r="R1141" s="5"/>
      <c r="AF1141" s="14"/>
    </row>
    <row r="1142" spans="1:32" customFormat="1" x14ac:dyDescent="0.25">
      <c r="A1142" s="9"/>
      <c r="C1142" s="14"/>
      <c r="E1142" t="str">
        <f>IF(ISNA(VLOOKUP(C1142,P:Q,2,0)),"",VLOOKUP(C1142,P:Q,2,0))</f>
        <v/>
      </c>
      <c r="F1142" s="15" t="str">
        <f>IF(ISNA(VLOOKUP(C1142,P:R,3,0)),"",VLOOKUP(C1142,P:R,3,0))</f>
        <v/>
      </c>
      <c r="G1142">
        <f>ROUND(IF(D1142&gt;0,0,ABS(D1142)),2)</f>
        <v>0</v>
      </c>
      <c r="H1142">
        <f>ROUND(IF(D1142&gt;0,D1142,),2)</f>
        <v>0</v>
      </c>
      <c r="K1142" s="7"/>
      <c r="N1142" s="7"/>
      <c r="P1142" s="8"/>
      <c r="Q1142" s="5"/>
      <c r="R1142" s="5"/>
      <c r="AF1142" s="14"/>
    </row>
    <row r="1143" spans="1:32" customFormat="1" x14ac:dyDescent="0.25">
      <c r="A1143" s="9"/>
      <c r="C1143" s="14"/>
      <c r="E1143" t="str">
        <f>IF(ISNA(VLOOKUP(C1143,P:Q,2,0)),"",VLOOKUP(C1143,P:Q,2,0))</f>
        <v/>
      </c>
      <c r="F1143" s="15" t="str">
        <f>IF(ISNA(VLOOKUP(C1143,P:R,3,0)),"",VLOOKUP(C1143,P:R,3,0))</f>
        <v/>
      </c>
      <c r="G1143">
        <f>ROUND(IF(D1143&gt;0,0,ABS(D1143)),2)</f>
        <v>0</v>
      </c>
      <c r="H1143">
        <f>ROUND(IF(D1143&gt;0,D1143,),2)</f>
        <v>0</v>
      </c>
      <c r="K1143" s="7"/>
      <c r="N1143" s="7"/>
      <c r="P1143" s="8"/>
      <c r="Q1143" s="5"/>
      <c r="R1143" s="5"/>
      <c r="AF1143" s="14"/>
    </row>
    <row r="1144" spans="1:32" customFormat="1" x14ac:dyDescent="0.25">
      <c r="A1144" s="9"/>
      <c r="C1144" s="14"/>
      <c r="E1144" t="str">
        <f>IF(ISNA(VLOOKUP(C1144,P:Q,2,0)),"",VLOOKUP(C1144,P:Q,2,0))</f>
        <v/>
      </c>
      <c r="F1144" s="15" t="str">
        <f>IF(ISNA(VLOOKUP(C1144,P:R,3,0)),"",VLOOKUP(C1144,P:R,3,0))</f>
        <v/>
      </c>
      <c r="G1144">
        <f>ROUND(IF(D1144&gt;0,0,ABS(D1144)),2)</f>
        <v>0</v>
      </c>
      <c r="H1144">
        <f>ROUND(IF(D1144&gt;0,D1144,),2)</f>
        <v>0</v>
      </c>
      <c r="K1144" s="7"/>
      <c r="N1144" s="7"/>
      <c r="P1144" s="8"/>
      <c r="Q1144" s="5"/>
      <c r="R1144" s="5"/>
      <c r="AF1144" s="14"/>
    </row>
    <row r="1145" spans="1:32" customFormat="1" x14ac:dyDescent="0.25">
      <c r="A1145" s="9"/>
      <c r="C1145" s="14"/>
      <c r="E1145" t="str">
        <f>IF(ISNA(VLOOKUP(C1145,P:Q,2,0)),"",VLOOKUP(C1145,P:Q,2,0))</f>
        <v/>
      </c>
      <c r="F1145" s="15" t="str">
        <f>IF(ISNA(VLOOKUP(C1145,P:R,3,0)),"",VLOOKUP(C1145,P:R,3,0))</f>
        <v/>
      </c>
      <c r="G1145">
        <f>ROUND(IF(D1145&gt;0,0,ABS(D1145)),2)</f>
        <v>0</v>
      </c>
      <c r="H1145">
        <f>ROUND(IF(D1145&gt;0,D1145,),2)</f>
        <v>0</v>
      </c>
      <c r="K1145" s="7"/>
      <c r="N1145" s="7"/>
      <c r="P1145" s="8"/>
      <c r="Q1145" s="5"/>
      <c r="R1145" s="5"/>
      <c r="AF1145" s="14"/>
    </row>
    <row r="1146" spans="1:32" customFormat="1" x14ac:dyDescent="0.25">
      <c r="A1146" s="9"/>
      <c r="C1146" s="14"/>
      <c r="E1146" t="str">
        <f>IF(ISNA(VLOOKUP(C1146,P:Q,2,0)),"",VLOOKUP(C1146,P:Q,2,0))</f>
        <v/>
      </c>
      <c r="F1146" s="15" t="str">
        <f>IF(ISNA(VLOOKUP(C1146,P:R,3,0)),"",VLOOKUP(C1146,P:R,3,0))</f>
        <v/>
      </c>
      <c r="G1146">
        <f>ROUND(IF(D1146&gt;0,0,ABS(D1146)),2)</f>
        <v>0</v>
      </c>
      <c r="H1146">
        <f>ROUND(IF(D1146&gt;0,D1146,),2)</f>
        <v>0</v>
      </c>
      <c r="K1146" s="7"/>
      <c r="N1146" s="7"/>
      <c r="P1146" s="8"/>
      <c r="Q1146" s="5"/>
      <c r="R1146" s="5"/>
      <c r="AF1146" s="14"/>
    </row>
    <row r="1147" spans="1:32" customFormat="1" x14ac:dyDescent="0.25">
      <c r="A1147" s="9"/>
      <c r="C1147" s="14"/>
      <c r="E1147" t="str">
        <f>IF(ISNA(VLOOKUP(C1147,P:Q,2,0)),"",VLOOKUP(C1147,P:Q,2,0))</f>
        <v/>
      </c>
      <c r="F1147" s="15" t="str">
        <f>IF(ISNA(VLOOKUP(C1147,P:R,3,0)),"",VLOOKUP(C1147,P:R,3,0))</f>
        <v/>
      </c>
      <c r="G1147">
        <f>ROUND(IF(D1147&gt;0,0,ABS(D1147)),2)</f>
        <v>0</v>
      </c>
      <c r="H1147">
        <f>ROUND(IF(D1147&gt;0,D1147,),2)</f>
        <v>0</v>
      </c>
      <c r="K1147" s="7"/>
      <c r="N1147" s="7"/>
      <c r="P1147" s="8"/>
      <c r="Q1147" s="5"/>
      <c r="R1147" s="5"/>
      <c r="AF1147" s="14"/>
    </row>
    <row r="1148" spans="1:32" customFormat="1" x14ac:dyDescent="0.25">
      <c r="A1148" s="9"/>
      <c r="C1148" s="14"/>
      <c r="E1148" t="str">
        <f>IF(ISNA(VLOOKUP(C1148,P:Q,2,0)),"",VLOOKUP(C1148,P:Q,2,0))</f>
        <v/>
      </c>
      <c r="F1148" s="15" t="str">
        <f>IF(ISNA(VLOOKUP(C1148,P:R,3,0)),"",VLOOKUP(C1148,P:R,3,0))</f>
        <v/>
      </c>
      <c r="G1148">
        <f>ROUND(IF(D1148&gt;0,0,ABS(D1148)),2)</f>
        <v>0</v>
      </c>
      <c r="H1148">
        <f>ROUND(IF(D1148&gt;0,D1148,),2)</f>
        <v>0</v>
      </c>
      <c r="K1148" s="7"/>
      <c r="N1148" s="7"/>
      <c r="P1148" s="8"/>
      <c r="Q1148" s="5"/>
      <c r="R1148" s="5"/>
      <c r="AF1148" s="14"/>
    </row>
    <row r="1149" spans="1:32" customFormat="1" x14ac:dyDescent="0.25">
      <c r="A1149" s="9"/>
      <c r="C1149" s="14"/>
      <c r="E1149" t="str">
        <f>IF(ISNA(VLOOKUP(C1149,P:Q,2,0)),"",VLOOKUP(C1149,P:Q,2,0))</f>
        <v/>
      </c>
      <c r="F1149" s="15" t="str">
        <f>IF(ISNA(VLOOKUP(C1149,P:R,3,0)),"",VLOOKUP(C1149,P:R,3,0))</f>
        <v/>
      </c>
      <c r="G1149">
        <f>ROUND(IF(D1149&gt;0,0,ABS(D1149)),2)</f>
        <v>0</v>
      </c>
      <c r="H1149">
        <f>ROUND(IF(D1149&gt;0,D1149,),2)</f>
        <v>0</v>
      </c>
      <c r="K1149" s="7"/>
      <c r="N1149" s="7"/>
      <c r="P1149" s="8"/>
      <c r="Q1149" s="5"/>
      <c r="R1149" s="5"/>
      <c r="AF1149" s="14"/>
    </row>
    <row r="1150" spans="1:32" customFormat="1" x14ac:dyDescent="0.25">
      <c r="A1150" s="9"/>
      <c r="C1150" s="14"/>
      <c r="E1150" t="str">
        <f>IF(ISNA(VLOOKUP(C1150,P:Q,2,0)),"",VLOOKUP(C1150,P:Q,2,0))</f>
        <v/>
      </c>
      <c r="F1150" s="15" t="str">
        <f>IF(ISNA(VLOOKUP(C1150,P:R,3,0)),"",VLOOKUP(C1150,P:R,3,0))</f>
        <v/>
      </c>
      <c r="G1150">
        <f>ROUND(IF(D1150&gt;0,0,ABS(D1150)),2)</f>
        <v>0</v>
      </c>
      <c r="H1150">
        <f>ROUND(IF(D1150&gt;0,D1150,),2)</f>
        <v>0</v>
      </c>
      <c r="K1150" s="7"/>
      <c r="N1150" s="7"/>
      <c r="P1150" s="8"/>
      <c r="Q1150" s="5"/>
      <c r="R1150" s="5"/>
      <c r="AF1150" s="14"/>
    </row>
    <row r="1151" spans="1:32" customFormat="1" x14ac:dyDescent="0.25">
      <c r="A1151" s="9"/>
      <c r="C1151" s="14"/>
      <c r="E1151" t="str">
        <f>IF(ISNA(VLOOKUP(C1151,P:Q,2,0)),"",VLOOKUP(C1151,P:Q,2,0))</f>
        <v/>
      </c>
      <c r="F1151" s="15" t="str">
        <f>IF(ISNA(VLOOKUP(C1151,P:R,3,0)),"",VLOOKUP(C1151,P:R,3,0))</f>
        <v/>
      </c>
      <c r="G1151">
        <f>ROUND(IF(D1151&gt;0,0,ABS(D1151)),2)</f>
        <v>0</v>
      </c>
      <c r="H1151">
        <f>ROUND(IF(D1151&gt;0,D1151,),2)</f>
        <v>0</v>
      </c>
      <c r="K1151" s="7"/>
      <c r="N1151" s="7"/>
      <c r="P1151" s="8"/>
      <c r="Q1151" s="5"/>
      <c r="R1151" s="5"/>
      <c r="AF1151" s="14"/>
    </row>
    <row r="1152" spans="1:32" customFormat="1" x14ac:dyDescent="0.25">
      <c r="A1152" s="9"/>
      <c r="C1152" s="14"/>
      <c r="E1152" t="str">
        <f>IF(ISNA(VLOOKUP(C1152,P:Q,2,0)),"",VLOOKUP(C1152,P:Q,2,0))</f>
        <v/>
      </c>
      <c r="F1152" s="15" t="str">
        <f>IF(ISNA(VLOOKUP(C1152,P:R,3,0)),"",VLOOKUP(C1152,P:R,3,0))</f>
        <v/>
      </c>
      <c r="G1152">
        <f>ROUND(IF(D1152&gt;0,0,ABS(D1152)),2)</f>
        <v>0</v>
      </c>
      <c r="H1152">
        <f>ROUND(IF(D1152&gt;0,D1152,),2)</f>
        <v>0</v>
      </c>
      <c r="K1152" s="7"/>
      <c r="N1152" s="7"/>
      <c r="P1152" s="8"/>
      <c r="Q1152" s="5"/>
      <c r="R1152" s="5"/>
      <c r="AF1152" s="14"/>
    </row>
    <row r="1153" spans="1:32" customFormat="1" x14ac:dyDescent="0.25">
      <c r="A1153" s="9"/>
      <c r="C1153" s="14"/>
      <c r="E1153" t="str">
        <f>IF(ISNA(VLOOKUP(C1153,P:Q,2,0)),"",VLOOKUP(C1153,P:Q,2,0))</f>
        <v/>
      </c>
      <c r="F1153" s="15" t="str">
        <f>IF(ISNA(VLOOKUP(C1153,P:R,3,0)),"",VLOOKUP(C1153,P:R,3,0))</f>
        <v/>
      </c>
      <c r="G1153">
        <f>ROUND(IF(D1153&gt;0,0,ABS(D1153)),2)</f>
        <v>0</v>
      </c>
      <c r="H1153">
        <f>ROUND(IF(D1153&gt;0,D1153,),2)</f>
        <v>0</v>
      </c>
      <c r="K1153" s="7"/>
      <c r="N1153" s="7"/>
      <c r="P1153" s="8"/>
      <c r="Q1153" s="5"/>
      <c r="R1153" s="5"/>
      <c r="AF1153" s="14"/>
    </row>
    <row r="1154" spans="1:32" customFormat="1" x14ac:dyDescent="0.25">
      <c r="A1154" s="9"/>
      <c r="C1154" s="14"/>
      <c r="E1154" t="str">
        <f>IF(ISNA(VLOOKUP(C1154,P:Q,2,0)),"",VLOOKUP(C1154,P:Q,2,0))</f>
        <v/>
      </c>
      <c r="F1154" s="15" t="str">
        <f>IF(ISNA(VLOOKUP(C1154,P:R,3,0)),"",VLOOKUP(C1154,P:R,3,0))</f>
        <v/>
      </c>
      <c r="G1154">
        <f>ROUND(IF(D1154&gt;0,0,ABS(D1154)),2)</f>
        <v>0</v>
      </c>
      <c r="H1154">
        <f>ROUND(IF(D1154&gt;0,D1154,),2)</f>
        <v>0</v>
      </c>
      <c r="K1154" s="7"/>
      <c r="N1154" s="7"/>
      <c r="P1154" s="8"/>
      <c r="Q1154" s="5"/>
      <c r="R1154" s="5"/>
      <c r="AF1154" s="14"/>
    </row>
    <row r="1155" spans="1:32" customFormat="1" x14ac:dyDescent="0.25">
      <c r="A1155" s="9"/>
      <c r="C1155" s="14"/>
      <c r="E1155" t="str">
        <f>IF(ISNA(VLOOKUP(C1155,P:Q,2,0)),"",VLOOKUP(C1155,P:Q,2,0))</f>
        <v/>
      </c>
      <c r="F1155" s="15" t="str">
        <f>IF(ISNA(VLOOKUP(C1155,P:R,3,0)),"",VLOOKUP(C1155,P:R,3,0))</f>
        <v/>
      </c>
      <c r="G1155">
        <f>ROUND(IF(D1155&gt;0,0,ABS(D1155)),2)</f>
        <v>0</v>
      </c>
      <c r="H1155">
        <f>ROUND(IF(D1155&gt;0,D1155,),2)</f>
        <v>0</v>
      </c>
      <c r="K1155" s="7"/>
      <c r="N1155" s="7"/>
      <c r="P1155" s="8"/>
      <c r="Q1155" s="5"/>
      <c r="R1155" s="5"/>
      <c r="AF1155" s="14"/>
    </row>
    <row r="1156" spans="1:32" customFormat="1" x14ac:dyDescent="0.25">
      <c r="A1156" s="9"/>
      <c r="C1156" s="14"/>
      <c r="E1156" t="str">
        <f>IF(ISNA(VLOOKUP(C1156,P:Q,2,0)),"",VLOOKUP(C1156,P:Q,2,0))</f>
        <v/>
      </c>
      <c r="F1156" s="15" t="str">
        <f>IF(ISNA(VLOOKUP(C1156,P:R,3,0)),"",VLOOKUP(C1156,P:R,3,0))</f>
        <v/>
      </c>
      <c r="G1156">
        <f>ROUND(IF(D1156&gt;0,0,ABS(D1156)),2)</f>
        <v>0</v>
      </c>
      <c r="H1156">
        <f>ROUND(IF(D1156&gt;0,D1156,),2)</f>
        <v>0</v>
      </c>
      <c r="K1156" s="7"/>
      <c r="N1156" s="7"/>
      <c r="P1156" s="8"/>
      <c r="Q1156" s="5"/>
      <c r="R1156" s="5"/>
      <c r="AF1156" s="14"/>
    </row>
    <row r="1157" spans="1:32" customFormat="1" x14ac:dyDescent="0.25">
      <c r="A1157" s="9"/>
      <c r="C1157" s="14"/>
      <c r="E1157" t="str">
        <f>IF(ISNA(VLOOKUP(C1157,P:Q,2,0)),"",VLOOKUP(C1157,P:Q,2,0))</f>
        <v/>
      </c>
      <c r="F1157" s="15" t="str">
        <f>IF(ISNA(VLOOKUP(C1157,P:R,3,0)),"",VLOOKUP(C1157,P:R,3,0))</f>
        <v/>
      </c>
      <c r="G1157">
        <f>ROUND(IF(D1157&gt;0,0,ABS(D1157)),2)</f>
        <v>0</v>
      </c>
      <c r="H1157">
        <f>ROUND(IF(D1157&gt;0,D1157,),2)</f>
        <v>0</v>
      </c>
      <c r="K1157" s="7"/>
      <c r="N1157" s="7"/>
      <c r="P1157" s="8"/>
      <c r="Q1157" s="5"/>
      <c r="R1157" s="5"/>
      <c r="AF1157" s="14"/>
    </row>
    <row r="1158" spans="1:32" customFormat="1" x14ac:dyDescent="0.25">
      <c r="A1158" s="9"/>
      <c r="C1158" s="14"/>
      <c r="E1158" t="str">
        <f>IF(ISNA(VLOOKUP(C1158,P:Q,2,0)),"",VLOOKUP(C1158,P:Q,2,0))</f>
        <v/>
      </c>
      <c r="F1158" s="15" t="str">
        <f>IF(ISNA(VLOOKUP(C1158,P:R,3,0)),"",VLOOKUP(C1158,P:R,3,0))</f>
        <v/>
      </c>
      <c r="G1158">
        <f>ROUND(IF(D1158&gt;0,0,ABS(D1158)),2)</f>
        <v>0</v>
      </c>
      <c r="H1158">
        <f>ROUND(IF(D1158&gt;0,D1158,),2)</f>
        <v>0</v>
      </c>
      <c r="K1158" s="7"/>
      <c r="N1158" s="7"/>
      <c r="P1158" s="8"/>
      <c r="Q1158" s="5"/>
      <c r="R1158" s="5"/>
      <c r="AF1158" s="14"/>
    </row>
    <row r="1159" spans="1:32" customFormat="1" x14ac:dyDescent="0.25">
      <c r="A1159" s="9"/>
      <c r="C1159" s="14"/>
      <c r="E1159" t="str">
        <f>IF(ISNA(VLOOKUP(C1159,P:Q,2,0)),"",VLOOKUP(C1159,P:Q,2,0))</f>
        <v/>
      </c>
      <c r="F1159" s="15" t="str">
        <f>IF(ISNA(VLOOKUP(C1159,P:R,3,0)),"",VLOOKUP(C1159,P:R,3,0))</f>
        <v/>
      </c>
      <c r="G1159">
        <f>ROUND(IF(D1159&gt;0,0,ABS(D1159)),2)</f>
        <v>0</v>
      </c>
      <c r="H1159">
        <f>ROUND(IF(D1159&gt;0,D1159,),2)</f>
        <v>0</v>
      </c>
      <c r="K1159" s="7"/>
      <c r="N1159" s="7"/>
      <c r="P1159" s="8"/>
      <c r="Q1159" s="5"/>
      <c r="R1159" s="5"/>
      <c r="AF1159" s="14"/>
    </row>
    <row r="1160" spans="1:32" customFormat="1" x14ac:dyDescent="0.25">
      <c r="A1160" s="9"/>
      <c r="C1160" s="14"/>
      <c r="E1160" t="str">
        <f>IF(ISNA(VLOOKUP(C1160,P:Q,2,0)),"",VLOOKUP(C1160,P:Q,2,0))</f>
        <v/>
      </c>
      <c r="F1160" s="15" t="str">
        <f>IF(ISNA(VLOOKUP(C1160,P:R,3,0)),"",VLOOKUP(C1160,P:R,3,0))</f>
        <v/>
      </c>
      <c r="G1160">
        <f>ROUND(IF(D1160&gt;0,0,ABS(D1160)),2)</f>
        <v>0</v>
      </c>
      <c r="H1160">
        <f>ROUND(IF(D1160&gt;0,D1160,),2)</f>
        <v>0</v>
      </c>
      <c r="K1160" s="7"/>
      <c r="N1160" s="7"/>
      <c r="P1160" s="8"/>
      <c r="Q1160" s="5"/>
      <c r="R1160" s="5"/>
      <c r="AF1160" s="14"/>
    </row>
    <row r="1161" spans="1:32" customFormat="1" x14ac:dyDescent="0.25">
      <c r="A1161" s="9"/>
      <c r="C1161" s="14"/>
      <c r="E1161" t="str">
        <f>IF(ISNA(VLOOKUP(C1161,P:Q,2,0)),"",VLOOKUP(C1161,P:Q,2,0))</f>
        <v/>
      </c>
      <c r="F1161" s="15" t="str">
        <f>IF(ISNA(VLOOKUP(C1161,P:R,3,0)),"",VLOOKUP(C1161,P:R,3,0))</f>
        <v/>
      </c>
      <c r="G1161">
        <f>ROUND(IF(D1161&gt;0,0,ABS(D1161)),2)</f>
        <v>0</v>
      </c>
      <c r="H1161">
        <f>ROUND(IF(D1161&gt;0,D1161,),2)</f>
        <v>0</v>
      </c>
      <c r="K1161" s="7"/>
      <c r="N1161" s="7"/>
      <c r="P1161" s="8"/>
      <c r="Q1161" s="5"/>
      <c r="R1161" s="5"/>
      <c r="AF1161" s="14"/>
    </row>
    <row r="1162" spans="1:32" customFormat="1" x14ac:dyDescent="0.25">
      <c r="A1162" s="9"/>
      <c r="C1162" s="14"/>
      <c r="E1162" t="str">
        <f>IF(ISNA(VLOOKUP(C1162,P:Q,2,0)),"",VLOOKUP(C1162,P:Q,2,0))</f>
        <v/>
      </c>
      <c r="F1162" s="15" t="str">
        <f>IF(ISNA(VLOOKUP(C1162,P:R,3,0)),"",VLOOKUP(C1162,P:R,3,0))</f>
        <v/>
      </c>
      <c r="G1162">
        <f>ROUND(IF(D1162&gt;0,0,ABS(D1162)),2)</f>
        <v>0</v>
      </c>
      <c r="H1162">
        <f>ROUND(IF(D1162&gt;0,D1162,),2)</f>
        <v>0</v>
      </c>
      <c r="K1162" s="7"/>
      <c r="N1162" s="7"/>
      <c r="P1162" s="8"/>
      <c r="Q1162" s="5"/>
      <c r="R1162" s="5"/>
      <c r="AF1162" s="14"/>
    </row>
    <row r="1163" spans="1:32" customFormat="1" x14ac:dyDescent="0.25">
      <c r="A1163" s="9"/>
      <c r="C1163" s="14"/>
      <c r="E1163" t="str">
        <f>IF(ISNA(VLOOKUP(C1163,P:Q,2,0)),"",VLOOKUP(C1163,P:Q,2,0))</f>
        <v/>
      </c>
      <c r="F1163" s="15" t="str">
        <f>IF(ISNA(VLOOKUP(C1163,P:R,3,0)),"",VLOOKUP(C1163,P:R,3,0))</f>
        <v/>
      </c>
      <c r="G1163">
        <f>ROUND(IF(D1163&gt;0,0,ABS(D1163)),2)</f>
        <v>0</v>
      </c>
      <c r="H1163">
        <f>ROUND(IF(D1163&gt;0,D1163,),2)</f>
        <v>0</v>
      </c>
      <c r="K1163" s="7"/>
      <c r="N1163" s="7"/>
      <c r="P1163" s="8"/>
      <c r="Q1163" s="5"/>
      <c r="R1163" s="5"/>
      <c r="AF1163" s="14"/>
    </row>
    <row r="1164" spans="1:32" customFormat="1" x14ac:dyDescent="0.25">
      <c r="A1164" s="9"/>
      <c r="C1164" s="14"/>
      <c r="E1164" t="str">
        <f>IF(ISNA(VLOOKUP(C1164,P:Q,2,0)),"",VLOOKUP(C1164,P:Q,2,0))</f>
        <v/>
      </c>
      <c r="F1164" s="15" t="str">
        <f>IF(ISNA(VLOOKUP(C1164,P:R,3,0)),"",VLOOKUP(C1164,P:R,3,0))</f>
        <v/>
      </c>
      <c r="G1164">
        <f>ROUND(IF(D1164&gt;0,0,ABS(D1164)),2)</f>
        <v>0</v>
      </c>
      <c r="H1164">
        <f>ROUND(IF(D1164&gt;0,D1164,),2)</f>
        <v>0</v>
      </c>
      <c r="K1164" s="7"/>
      <c r="N1164" s="7"/>
      <c r="P1164" s="8"/>
      <c r="Q1164" s="5"/>
      <c r="R1164" s="5"/>
      <c r="AF1164" s="14"/>
    </row>
    <row r="1165" spans="1:32" customFormat="1" x14ac:dyDescent="0.25">
      <c r="A1165" s="9"/>
      <c r="C1165" s="14"/>
      <c r="E1165" t="str">
        <f>IF(ISNA(VLOOKUP(C1165,P:Q,2,0)),"",VLOOKUP(C1165,P:Q,2,0))</f>
        <v/>
      </c>
      <c r="F1165" s="15" t="str">
        <f>IF(ISNA(VLOOKUP(C1165,P:R,3,0)),"",VLOOKUP(C1165,P:R,3,0))</f>
        <v/>
      </c>
      <c r="G1165">
        <f>ROUND(IF(D1165&gt;0,0,ABS(D1165)),2)</f>
        <v>0</v>
      </c>
      <c r="H1165">
        <f>ROUND(IF(D1165&gt;0,D1165,),2)</f>
        <v>0</v>
      </c>
      <c r="K1165" s="7"/>
      <c r="N1165" s="7"/>
      <c r="P1165" s="8"/>
      <c r="Q1165" s="5"/>
      <c r="R1165" s="5"/>
      <c r="AF1165" s="14"/>
    </row>
    <row r="1166" spans="1:32" customFormat="1" x14ac:dyDescent="0.25">
      <c r="A1166" s="9"/>
      <c r="C1166" s="14"/>
      <c r="E1166" t="str">
        <f>IF(ISNA(VLOOKUP(C1166,P:Q,2,0)),"",VLOOKUP(C1166,P:Q,2,0))</f>
        <v/>
      </c>
      <c r="F1166" s="15" t="str">
        <f>IF(ISNA(VLOOKUP(C1166,P:R,3,0)),"",VLOOKUP(C1166,P:R,3,0))</f>
        <v/>
      </c>
      <c r="G1166">
        <f>ROUND(IF(D1166&gt;0,0,ABS(D1166)),2)</f>
        <v>0</v>
      </c>
      <c r="H1166">
        <f>ROUND(IF(D1166&gt;0,D1166,),2)</f>
        <v>0</v>
      </c>
      <c r="K1166" s="7"/>
      <c r="N1166" s="7"/>
      <c r="P1166" s="8"/>
      <c r="Q1166" s="5"/>
      <c r="R1166" s="5"/>
      <c r="AF1166" s="14"/>
    </row>
    <row r="1167" spans="1:32" customFormat="1" x14ac:dyDescent="0.25">
      <c r="A1167" s="9"/>
      <c r="C1167" s="14"/>
      <c r="E1167" t="str">
        <f>IF(ISNA(VLOOKUP(C1167,P:Q,2,0)),"",VLOOKUP(C1167,P:Q,2,0))</f>
        <v/>
      </c>
      <c r="F1167" s="15" t="str">
        <f>IF(ISNA(VLOOKUP(C1167,P:R,3,0)),"",VLOOKUP(C1167,P:R,3,0))</f>
        <v/>
      </c>
      <c r="G1167">
        <f>ROUND(IF(D1167&gt;0,0,ABS(D1167)),2)</f>
        <v>0</v>
      </c>
      <c r="H1167">
        <f>ROUND(IF(D1167&gt;0,D1167,),2)</f>
        <v>0</v>
      </c>
      <c r="K1167" s="7"/>
      <c r="N1167" s="7"/>
      <c r="P1167" s="8"/>
      <c r="Q1167" s="5"/>
      <c r="R1167" s="5"/>
      <c r="AF1167" s="14"/>
    </row>
    <row r="1168" spans="1:32" customFormat="1" x14ac:dyDescent="0.25">
      <c r="A1168" s="9"/>
      <c r="C1168" s="14"/>
      <c r="E1168" t="str">
        <f>IF(ISNA(VLOOKUP(C1168,P:Q,2,0)),"",VLOOKUP(C1168,P:Q,2,0))</f>
        <v/>
      </c>
      <c r="F1168" s="15" t="str">
        <f>IF(ISNA(VLOOKUP(C1168,P:R,3,0)),"",VLOOKUP(C1168,P:R,3,0))</f>
        <v/>
      </c>
      <c r="G1168">
        <f>ROUND(IF(D1168&gt;0,0,ABS(D1168)),2)</f>
        <v>0</v>
      </c>
      <c r="H1168">
        <f>ROUND(IF(D1168&gt;0,D1168,),2)</f>
        <v>0</v>
      </c>
      <c r="K1168" s="7"/>
      <c r="N1168" s="7"/>
      <c r="P1168" s="8"/>
      <c r="Q1168" s="5"/>
      <c r="R1168" s="5"/>
      <c r="AF1168" s="14"/>
    </row>
    <row r="1169" spans="1:32" customFormat="1" x14ac:dyDescent="0.25">
      <c r="A1169" s="9"/>
      <c r="C1169" s="14"/>
      <c r="E1169" t="str">
        <f>IF(ISNA(VLOOKUP(C1169,P:Q,2,0)),"",VLOOKUP(C1169,P:Q,2,0))</f>
        <v/>
      </c>
      <c r="F1169" s="15" t="str">
        <f>IF(ISNA(VLOOKUP(C1169,P:R,3,0)),"",VLOOKUP(C1169,P:R,3,0))</f>
        <v/>
      </c>
      <c r="G1169">
        <f>ROUND(IF(D1169&gt;0,0,ABS(D1169)),2)</f>
        <v>0</v>
      </c>
      <c r="H1169">
        <f>ROUND(IF(D1169&gt;0,D1169,),2)</f>
        <v>0</v>
      </c>
      <c r="K1169" s="7"/>
      <c r="N1169" s="7"/>
      <c r="P1169" s="8"/>
      <c r="Q1169" s="5"/>
      <c r="R1169" s="5"/>
      <c r="AF1169" s="14"/>
    </row>
    <row r="1170" spans="1:32" customFormat="1" x14ac:dyDescent="0.25">
      <c r="A1170" s="9"/>
      <c r="C1170" s="14"/>
      <c r="E1170" t="str">
        <f>IF(ISNA(VLOOKUP(C1170,P:Q,2,0)),"",VLOOKUP(C1170,P:Q,2,0))</f>
        <v/>
      </c>
      <c r="F1170" s="15" t="str">
        <f>IF(ISNA(VLOOKUP(C1170,P:R,3,0)),"",VLOOKUP(C1170,P:R,3,0))</f>
        <v/>
      </c>
      <c r="G1170">
        <f>ROUND(IF(D1170&gt;0,0,ABS(D1170)),2)</f>
        <v>0</v>
      </c>
      <c r="H1170">
        <f>ROUND(IF(D1170&gt;0,D1170,),2)</f>
        <v>0</v>
      </c>
      <c r="K1170" s="7"/>
      <c r="N1170" s="7"/>
      <c r="P1170" s="8"/>
      <c r="Q1170" s="5"/>
      <c r="R1170" s="5"/>
      <c r="AF1170" s="14"/>
    </row>
    <row r="1171" spans="1:32" customFormat="1" x14ac:dyDescent="0.25">
      <c r="A1171" s="9"/>
      <c r="C1171" s="14"/>
      <c r="E1171" t="str">
        <f>IF(ISNA(VLOOKUP(C1171,P:Q,2,0)),"",VLOOKUP(C1171,P:Q,2,0))</f>
        <v/>
      </c>
      <c r="F1171" s="15" t="str">
        <f>IF(ISNA(VLOOKUP(C1171,P:R,3,0)),"",VLOOKUP(C1171,P:R,3,0))</f>
        <v/>
      </c>
      <c r="G1171">
        <f>ROUND(IF(D1171&gt;0,0,ABS(D1171)),2)</f>
        <v>0</v>
      </c>
      <c r="H1171">
        <f>ROUND(IF(D1171&gt;0,D1171,),2)</f>
        <v>0</v>
      </c>
      <c r="K1171" s="7"/>
      <c r="N1171" s="7"/>
      <c r="P1171" s="8"/>
      <c r="Q1171" s="5"/>
      <c r="R1171" s="5"/>
      <c r="AF1171" s="14"/>
    </row>
    <row r="1172" spans="1:32" customFormat="1" x14ac:dyDescent="0.25">
      <c r="A1172" s="9"/>
      <c r="C1172" s="14"/>
      <c r="E1172" t="str">
        <f>IF(ISNA(VLOOKUP(C1172,P:Q,2,0)),"",VLOOKUP(C1172,P:Q,2,0))</f>
        <v/>
      </c>
      <c r="F1172" s="15" t="str">
        <f>IF(ISNA(VLOOKUP(C1172,P:R,3,0)),"",VLOOKUP(C1172,P:R,3,0))</f>
        <v/>
      </c>
      <c r="G1172">
        <f>ROUND(IF(D1172&gt;0,0,ABS(D1172)),2)</f>
        <v>0</v>
      </c>
      <c r="H1172">
        <f>ROUND(IF(D1172&gt;0,D1172,),2)</f>
        <v>0</v>
      </c>
      <c r="K1172" s="7"/>
      <c r="N1172" s="7"/>
      <c r="P1172" s="8"/>
      <c r="Q1172" s="5"/>
      <c r="R1172" s="5"/>
      <c r="AF1172" s="14"/>
    </row>
    <row r="1173" spans="1:32" customFormat="1" x14ac:dyDescent="0.25">
      <c r="A1173" s="9"/>
      <c r="C1173" s="14"/>
      <c r="E1173" t="str">
        <f>IF(ISNA(VLOOKUP(C1173,P:Q,2,0)),"",VLOOKUP(C1173,P:Q,2,0))</f>
        <v/>
      </c>
      <c r="F1173" s="15" t="str">
        <f>IF(ISNA(VLOOKUP(C1173,P:R,3,0)),"",VLOOKUP(C1173,P:R,3,0))</f>
        <v/>
      </c>
      <c r="G1173">
        <f>ROUND(IF(D1173&gt;0,0,ABS(D1173)),2)</f>
        <v>0</v>
      </c>
      <c r="H1173">
        <f>ROUND(IF(D1173&gt;0,D1173,),2)</f>
        <v>0</v>
      </c>
      <c r="K1173" s="7"/>
      <c r="N1173" s="7"/>
      <c r="P1173" s="8"/>
      <c r="Q1173" s="5"/>
      <c r="R1173" s="5"/>
      <c r="AF1173" s="14"/>
    </row>
    <row r="1174" spans="1:32" customFormat="1" x14ac:dyDescent="0.25">
      <c r="A1174" s="9"/>
      <c r="C1174" s="14"/>
      <c r="E1174" t="str">
        <f>IF(ISNA(VLOOKUP(C1174,P:Q,2,0)),"",VLOOKUP(C1174,P:Q,2,0))</f>
        <v/>
      </c>
      <c r="F1174" s="15" t="str">
        <f>IF(ISNA(VLOOKUP(C1174,P:R,3,0)),"",VLOOKUP(C1174,P:R,3,0))</f>
        <v/>
      </c>
      <c r="G1174">
        <f>ROUND(IF(D1174&gt;0,0,ABS(D1174)),2)</f>
        <v>0</v>
      </c>
      <c r="H1174">
        <f>ROUND(IF(D1174&gt;0,D1174,),2)</f>
        <v>0</v>
      </c>
      <c r="K1174" s="7"/>
      <c r="N1174" s="7"/>
      <c r="P1174" s="8"/>
      <c r="Q1174" s="5"/>
      <c r="R1174" s="5"/>
      <c r="AF1174" s="14"/>
    </row>
    <row r="1175" spans="1:32" customFormat="1" x14ac:dyDescent="0.25">
      <c r="A1175" s="9"/>
      <c r="C1175" s="14"/>
      <c r="E1175" t="str">
        <f>IF(ISNA(VLOOKUP(C1175,P:Q,2,0)),"",VLOOKUP(C1175,P:Q,2,0))</f>
        <v/>
      </c>
      <c r="F1175" s="15" t="str">
        <f>IF(ISNA(VLOOKUP(C1175,P:R,3,0)),"",VLOOKUP(C1175,P:R,3,0))</f>
        <v/>
      </c>
      <c r="G1175">
        <f>ROUND(IF(D1175&gt;0,0,ABS(D1175)),2)</f>
        <v>0</v>
      </c>
      <c r="H1175">
        <f>ROUND(IF(D1175&gt;0,D1175,),2)</f>
        <v>0</v>
      </c>
      <c r="K1175" s="7"/>
      <c r="N1175" s="7"/>
      <c r="P1175" s="8"/>
      <c r="Q1175" s="5"/>
      <c r="R1175" s="5"/>
      <c r="AF1175" s="14"/>
    </row>
    <row r="1176" spans="1:32" customFormat="1" x14ac:dyDescent="0.25">
      <c r="A1176" s="9"/>
      <c r="C1176" s="14"/>
      <c r="E1176" t="str">
        <f>IF(ISNA(VLOOKUP(C1176,P:Q,2,0)),"",VLOOKUP(C1176,P:Q,2,0))</f>
        <v/>
      </c>
      <c r="F1176" s="15" t="str">
        <f>IF(ISNA(VLOOKUP(C1176,P:R,3,0)),"",VLOOKUP(C1176,P:R,3,0))</f>
        <v/>
      </c>
      <c r="G1176">
        <f>ROUND(IF(D1176&gt;0,0,ABS(D1176)),2)</f>
        <v>0</v>
      </c>
      <c r="H1176">
        <f>ROUND(IF(D1176&gt;0,D1176,),2)</f>
        <v>0</v>
      </c>
      <c r="K1176" s="7"/>
      <c r="N1176" s="7"/>
      <c r="P1176" s="8"/>
      <c r="Q1176" s="5"/>
      <c r="R1176" s="5"/>
      <c r="AF1176" s="14"/>
    </row>
    <row r="1177" spans="1:32" customFormat="1" x14ac:dyDescent="0.25">
      <c r="A1177" s="9"/>
      <c r="C1177" s="14"/>
      <c r="E1177" t="str">
        <f>IF(ISNA(VLOOKUP(C1177,P:Q,2,0)),"",VLOOKUP(C1177,P:Q,2,0))</f>
        <v/>
      </c>
      <c r="F1177" s="15" t="str">
        <f>IF(ISNA(VLOOKUP(C1177,P:R,3,0)),"",VLOOKUP(C1177,P:R,3,0))</f>
        <v/>
      </c>
      <c r="G1177">
        <f>ROUND(IF(D1177&gt;0,0,ABS(D1177)),2)</f>
        <v>0</v>
      </c>
      <c r="H1177">
        <f>ROUND(IF(D1177&gt;0,D1177,),2)</f>
        <v>0</v>
      </c>
      <c r="K1177" s="7"/>
      <c r="N1177" s="7"/>
      <c r="P1177" s="8"/>
      <c r="Q1177" s="5"/>
      <c r="R1177" s="5"/>
      <c r="AF1177" s="14"/>
    </row>
    <row r="1178" spans="1:32" customFormat="1" x14ac:dyDescent="0.25">
      <c r="A1178" s="9"/>
      <c r="C1178" s="14"/>
      <c r="E1178" t="str">
        <f>IF(ISNA(VLOOKUP(C1178,P:Q,2,0)),"",VLOOKUP(C1178,P:Q,2,0))</f>
        <v/>
      </c>
      <c r="F1178" s="15" t="str">
        <f>IF(ISNA(VLOOKUP(C1178,P:R,3,0)),"",VLOOKUP(C1178,P:R,3,0))</f>
        <v/>
      </c>
      <c r="G1178">
        <f>ROUND(IF(D1178&gt;0,0,ABS(D1178)),2)</f>
        <v>0</v>
      </c>
      <c r="H1178">
        <f>ROUND(IF(D1178&gt;0,D1178,),2)</f>
        <v>0</v>
      </c>
      <c r="K1178" s="7"/>
      <c r="N1178" s="7"/>
      <c r="P1178" s="8"/>
      <c r="Q1178" s="5"/>
      <c r="R1178" s="5"/>
      <c r="AF1178" s="14"/>
    </row>
    <row r="1179" spans="1:32" customFormat="1" x14ac:dyDescent="0.25">
      <c r="A1179" s="9"/>
      <c r="C1179" s="14"/>
      <c r="E1179" t="str">
        <f>IF(ISNA(VLOOKUP(C1179,P:Q,2,0)),"",VLOOKUP(C1179,P:Q,2,0))</f>
        <v/>
      </c>
      <c r="F1179" s="15" t="str">
        <f>IF(ISNA(VLOOKUP(C1179,P:R,3,0)),"",VLOOKUP(C1179,P:R,3,0))</f>
        <v/>
      </c>
      <c r="G1179">
        <f>ROUND(IF(D1179&gt;0,0,ABS(D1179)),2)</f>
        <v>0</v>
      </c>
      <c r="H1179">
        <f>ROUND(IF(D1179&gt;0,D1179,),2)</f>
        <v>0</v>
      </c>
      <c r="K1179" s="7"/>
      <c r="N1179" s="7"/>
      <c r="P1179" s="8"/>
      <c r="Q1179" s="5"/>
      <c r="R1179" s="5"/>
      <c r="AF1179" s="14"/>
    </row>
    <row r="1180" spans="1:32" customFormat="1" x14ac:dyDescent="0.25">
      <c r="A1180" s="9"/>
      <c r="C1180" s="14"/>
      <c r="E1180" t="str">
        <f>IF(ISNA(VLOOKUP(C1180,P:Q,2,0)),"",VLOOKUP(C1180,P:Q,2,0))</f>
        <v/>
      </c>
      <c r="F1180" s="15" t="str">
        <f>IF(ISNA(VLOOKUP(C1180,P:R,3,0)),"",VLOOKUP(C1180,P:R,3,0))</f>
        <v/>
      </c>
      <c r="G1180">
        <f>ROUND(IF(D1180&gt;0,0,ABS(D1180)),2)</f>
        <v>0</v>
      </c>
      <c r="H1180">
        <f>ROUND(IF(D1180&gt;0,D1180,),2)</f>
        <v>0</v>
      </c>
      <c r="K1180" s="7"/>
      <c r="N1180" s="7"/>
      <c r="P1180" s="8"/>
      <c r="Q1180" s="5"/>
      <c r="R1180" s="5"/>
      <c r="AF1180" s="14"/>
    </row>
    <row r="1181" spans="1:32" customFormat="1" x14ac:dyDescent="0.25">
      <c r="A1181" s="9"/>
      <c r="C1181" s="14"/>
      <c r="E1181" t="str">
        <f>IF(ISNA(VLOOKUP(C1181,P:Q,2,0)),"",VLOOKUP(C1181,P:Q,2,0))</f>
        <v/>
      </c>
      <c r="F1181" s="15" t="str">
        <f>IF(ISNA(VLOOKUP(C1181,P:R,3,0)),"",VLOOKUP(C1181,P:R,3,0))</f>
        <v/>
      </c>
      <c r="G1181">
        <f>ROUND(IF(D1181&gt;0,0,ABS(D1181)),2)</f>
        <v>0</v>
      </c>
      <c r="H1181">
        <f>ROUND(IF(D1181&gt;0,D1181,),2)</f>
        <v>0</v>
      </c>
      <c r="K1181" s="7"/>
      <c r="N1181" s="7"/>
      <c r="P1181" s="8"/>
      <c r="Q1181" s="5"/>
      <c r="R1181" s="5"/>
      <c r="AF1181" s="14"/>
    </row>
    <row r="1182" spans="1:32" customFormat="1" x14ac:dyDescent="0.25">
      <c r="A1182" s="9"/>
      <c r="C1182" s="14"/>
      <c r="E1182" t="str">
        <f>IF(ISNA(VLOOKUP(C1182,P:Q,2,0)),"",VLOOKUP(C1182,P:Q,2,0))</f>
        <v/>
      </c>
      <c r="F1182" s="15" t="str">
        <f>IF(ISNA(VLOOKUP(C1182,P:R,3,0)),"",VLOOKUP(C1182,P:R,3,0))</f>
        <v/>
      </c>
      <c r="G1182">
        <f>ROUND(IF(D1182&gt;0,0,ABS(D1182)),2)</f>
        <v>0</v>
      </c>
      <c r="H1182">
        <f>ROUND(IF(D1182&gt;0,D1182,),2)</f>
        <v>0</v>
      </c>
      <c r="K1182" s="7"/>
      <c r="N1182" s="7"/>
      <c r="P1182" s="8"/>
      <c r="Q1182" s="5"/>
      <c r="R1182" s="5"/>
      <c r="AF1182" s="14"/>
    </row>
    <row r="1183" spans="1:32" customFormat="1" x14ac:dyDescent="0.25">
      <c r="A1183" s="9"/>
      <c r="C1183" s="14"/>
      <c r="E1183" t="str">
        <f>IF(ISNA(VLOOKUP(C1183,P:Q,2,0)),"",VLOOKUP(C1183,P:Q,2,0))</f>
        <v/>
      </c>
      <c r="F1183" s="15" t="str">
        <f>IF(ISNA(VLOOKUP(C1183,P:R,3,0)),"",VLOOKUP(C1183,P:R,3,0))</f>
        <v/>
      </c>
      <c r="G1183">
        <f>ROUND(IF(D1183&gt;0,0,ABS(D1183)),2)</f>
        <v>0</v>
      </c>
      <c r="H1183">
        <f>ROUND(IF(D1183&gt;0,D1183,),2)</f>
        <v>0</v>
      </c>
      <c r="K1183" s="7"/>
      <c r="N1183" s="7"/>
      <c r="P1183" s="8"/>
      <c r="Q1183" s="5"/>
      <c r="R1183" s="5"/>
      <c r="AF1183" s="14"/>
    </row>
    <row r="1184" spans="1:32" customFormat="1" x14ac:dyDescent="0.25">
      <c r="A1184" s="9"/>
      <c r="C1184" s="14"/>
      <c r="E1184" t="str">
        <f>IF(ISNA(VLOOKUP(C1184,P:Q,2,0)),"",VLOOKUP(C1184,P:Q,2,0))</f>
        <v/>
      </c>
      <c r="F1184" s="15" t="str">
        <f>IF(ISNA(VLOOKUP(C1184,P:R,3,0)),"",VLOOKUP(C1184,P:R,3,0))</f>
        <v/>
      </c>
      <c r="G1184">
        <f>ROUND(IF(D1184&gt;0,0,ABS(D1184)),2)</f>
        <v>0</v>
      </c>
      <c r="H1184">
        <f>ROUND(IF(D1184&gt;0,D1184,),2)</f>
        <v>0</v>
      </c>
      <c r="K1184" s="7"/>
      <c r="N1184" s="7"/>
      <c r="P1184" s="8"/>
      <c r="Q1184" s="5"/>
      <c r="R1184" s="5"/>
      <c r="AF1184" s="14"/>
    </row>
    <row r="1185" spans="1:32" customFormat="1" x14ac:dyDescent="0.25">
      <c r="A1185" s="9"/>
      <c r="C1185" s="14"/>
      <c r="E1185" t="str">
        <f>IF(ISNA(VLOOKUP(C1185,P:Q,2,0)),"",VLOOKUP(C1185,P:Q,2,0))</f>
        <v/>
      </c>
      <c r="F1185" s="15" t="str">
        <f>IF(ISNA(VLOOKUP(C1185,P:R,3,0)),"",VLOOKUP(C1185,P:R,3,0))</f>
        <v/>
      </c>
      <c r="G1185">
        <f>ROUND(IF(D1185&gt;0,0,ABS(D1185)),2)</f>
        <v>0</v>
      </c>
      <c r="H1185">
        <f>ROUND(IF(D1185&gt;0,D1185,),2)</f>
        <v>0</v>
      </c>
      <c r="K1185" s="7"/>
      <c r="N1185" s="7"/>
      <c r="P1185" s="8"/>
      <c r="Q1185" s="5"/>
      <c r="R1185" s="5"/>
      <c r="AF1185" s="14"/>
    </row>
    <row r="1186" spans="1:32" customFormat="1" x14ac:dyDescent="0.25">
      <c r="A1186" s="9"/>
      <c r="C1186" s="14"/>
      <c r="E1186" t="str">
        <f>IF(ISNA(VLOOKUP(C1186,P:Q,2,0)),"",VLOOKUP(C1186,P:Q,2,0))</f>
        <v/>
      </c>
      <c r="F1186" s="15" t="str">
        <f>IF(ISNA(VLOOKUP(C1186,P:R,3,0)),"",VLOOKUP(C1186,P:R,3,0))</f>
        <v/>
      </c>
      <c r="G1186">
        <f>ROUND(IF(D1186&gt;0,0,ABS(D1186)),2)</f>
        <v>0</v>
      </c>
      <c r="H1186">
        <f>ROUND(IF(D1186&gt;0,D1186,),2)</f>
        <v>0</v>
      </c>
      <c r="K1186" s="7"/>
      <c r="N1186" s="7"/>
      <c r="P1186" s="8"/>
      <c r="Q1186" s="5"/>
      <c r="R1186" s="5"/>
      <c r="AF1186" s="14"/>
    </row>
    <row r="1187" spans="1:32" customFormat="1" x14ac:dyDescent="0.25">
      <c r="A1187" s="9"/>
      <c r="C1187" s="14"/>
      <c r="E1187" t="str">
        <f>IF(ISNA(VLOOKUP(C1187,P:Q,2,0)),"",VLOOKUP(C1187,P:Q,2,0))</f>
        <v/>
      </c>
      <c r="F1187" s="15" t="str">
        <f>IF(ISNA(VLOOKUP(C1187,P:R,3,0)),"",VLOOKUP(C1187,P:R,3,0))</f>
        <v/>
      </c>
      <c r="G1187">
        <f>ROUND(IF(D1187&gt;0,0,ABS(D1187)),2)</f>
        <v>0</v>
      </c>
      <c r="H1187">
        <f>ROUND(IF(D1187&gt;0,D1187,),2)</f>
        <v>0</v>
      </c>
      <c r="K1187" s="7"/>
      <c r="N1187" s="7"/>
      <c r="P1187" s="8"/>
      <c r="Q1187" s="5"/>
      <c r="R1187" s="5"/>
      <c r="AF1187" s="14"/>
    </row>
    <row r="1188" spans="1:32" customFormat="1" x14ac:dyDescent="0.25">
      <c r="A1188" s="9"/>
      <c r="C1188" s="14"/>
      <c r="E1188" t="str">
        <f>IF(ISNA(VLOOKUP(C1188,P:Q,2,0)),"",VLOOKUP(C1188,P:Q,2,0))</f>
        <v/>
      </c>
      <c r="F1188" s="15" t="str">
        <f>IF(ISNA(VLOOKUP(C1188,P:R,3,0)),"",VLOOKUP(C1188,P:R,3,0))</f>
        <v/>
      </c>
      <c r="G1188">
        <f>ROUND(IF(D1188&gt;0,0,ABS(D1188)),2)</f>
        <v>0</v>
      </c>
      <c r="H1188">
        <f>ROUND(IF(D1188&gt;0,D1188,),2)</f>
        <v>0</v>
      </c>
      <c r="K1188" s="7"/>
      <c r="N1188" s="7"/>
      <c r="P1188" s="8"/>
      <c r="Q1188" s="5"/>
      <c r="R1188" s="5"/>
      <c r="AF1188" s="14"/>
    </row>
    <row r="1189" spans="1:32" customFormat="1" x14ac:dyDescent="0.25">
      <c r="A1189" s="9"/>
      <c r="C1189" s="14"/>
      <c r="E1189" t="str">
        <f>IF(ISNA(VLOOKUP(C1189,P:Q,2,0)),"",VLOOKUP(C1189,P:Q,2,0))</f>
        <v/>
      </c>
      <c r="F1189" s="15" t="str">
        <f>IF(ISNA(VLOOKUP(C1189,P:R,3,0)),"",VLOOKUP(C1189,P:R,3,0))</f>
        <v/>
      </c>
      <c r="G1189">
        <f>ROUND(IF(D1189&gt;0,0,ABS(D1189)),2)</f>
        <v>0</v>
      </c>
      <c r="H1189">
        <f>ROUND(IF(D1189&gt;0,D1189,),2)</f>
        <v>0</v>
      </c>
      <c r="K1189" s="7"/>
      <c r="N1189" s="7"/>
      <c r="P1189" s="8"/>
      <c r="Q1189" s="5"/>
      <c r="R1189" s="5"/>
      <c r="AF1189" s="14"/>
    </row>
    <row r="1190" spans="1:32" customFormat="1" x14ac:dyDescent="0.25">
      <c r="A1190" s="9"/>
      <c r="C1190" s="14"/>
      <c r="E1190" t="str">
        <f>IF(ISNA(VLOOKUP(C1190,P:Q,2,0)),"",VLOOKUP(C1190,P:Q,2,0))</f>
        <v/>
      </c>
      <c r="F1190" s="15" t="str">
        <f>IF(ISNA(VLOOKUP(C1190,P:R,3,0)),"",VLOOKUP(C1190,P:R,3,0))</f>
        <v/>
      </c>
      <c r="G1190">
        <f>ROUND(IF(D1190&gt;0,0,ABS(D1190)),2)</f>
        <v>0</v>
      </c>
      <c r="H1190">
        <f>ROUND(IF(D1190&gt;0,D1190,),2)</f>
        <v>0</v>
      </c>
      <c r="K1190" s="7"/>
      <c r="N1190" s="7"/>
      <c r="P1190" s="8"/>
      <c r="Q1190" s="5"/>
      <c r="R1190" s="5"/>
      <c r="AF1190" s="14"/>
    </row>
    <row r="1191" spans="1:32" customFormat="1" x14ac:dyDescent="0.25">
      <c r="A1191" s="9"/>
      <c r="C1191" s="14"/>
      <c r="E1191" t="str">
        <f>IF(ISNA(VLOOKUP(C1191,P:Q,2,0)),"",VLOOKUP(C1191,P:Q,2,0))</f>
        <v/>
      </c>
      <c r="F1191" s="15" t="str">
        <f>IF(ISNA(VLOOKUP(C1191,P:R,3,0)),"",VLOOKUP(C1191,P:R,3,0))</f>
        <v/>
      </c>
      <c r="G1191">
        <f>ROUND(IF(D1191&gt;0,0,ABS(D1191)),2)</f>
        <v>0</v>
      </c>
      <c r="H1191">
        <f>ROUND(IF(D1191&gt;0,D1191,),2)</f>
        <v>0</v>
      </c>
      <c r="K1191" s="7"/>
      <c r="N1191" s="7"/>
      <c r="P1191" s="8"/>
      <c r="Q1191" s="5"/>
      <c r="R1191" s="5"/>
      <c r="AF1191" s="14"/>
    </row>
    <row r="1192" spans="1:32" customFormat="1" x14ac:dyDescent="0.25">
      <c r="A1192" s="9"/>
      <c r="C1192" s="14"/>
      <c r="E1192" t="str">
        <f>IF(ISNA(VLOOKUP(C1192,P:Q,2,0)),"",VLOOKUP(C1192,P:Q,2,0))</f>
        <v/>
      </c>
      <c r="F1192" s="15" t="str">
        <f>IF(ISNA(VLOOKUP(C1192,P:R,3,0)),"",VLOOKUP(C1192,P:R,3,0))</f>
        <v/>
      </c>
      <c r="G1192">
        <f>ROUND(IF(D1192&gt;0,0,ABS(D1192)),2)</f>
        <v>0</v>
      </c>
      <c r="H1192">
        <f>ROUND(IF(D1192&gt;0,D1192,),2)</f>
        <v>0</v>
      </c>
      <c r="K1192" s="7"/>
      <c r="N1192" s="7"/>
      <c r="P1192" s="8"/>
      <c r="Q1192" s="5"/>
      <c r="R1192" s="5"/>
      <c r="AF1192" s="14"/>
    </row>
    <row r="1193" spans="1:32" customFormat="1" x14ac:dyDescent="0.25">
      <c r="A1193" s="9"/>
      <c r="C1193" s="14"/>
      <c r="E1193" t="str">
        <f>IF(ISNA(VLOOKUP(C1193,P:Q,2,0)),"",VLOOKUP(C1193,P:Q,2,0))</f>
        <v/>
      </c>
      <c r="F1193" s="15" t="str">
        <f>IF(ISNA(VLOOKUP(C1193,P:R,3,0)),"",VLOOKUP(C1193,P:R,3,0))</f>
        <v/>
      </c>
      <c r="G1193">
        <f>ROUND(IF(D1193&gt;0,0,ABS(D1193)),2)</f>
        <v>0</v>
      </c>
      <c r="H1193">
        <f>ROUND(IF(D1193&gt;0,D1193,),2)</f>
        <v>0</v>
      </c>
      <c r="K1193" s="7"/>
      <c r="N1193" s="7"/>
      <c r="P1193" s="8"/>
      <c r="Q1193" s="5"/>
      <c r="R1193" s="5"/>
      <c r="AF1193" s="14"/>
    </row>
    <row r="1194" spans="1:32" customFormat="1" x14ac:dyDescent="0.25">
      <c r="A1194" s="9"/>
      <c r="C1194" s="14"/>
      <c r="E1194" t="str">
        <f>IF(ISNA(VLOOKUP(C1194,P:Q,2,0)),"",VLOOKUP(C1194,P:Q,2,0))</f>
        <v/>
      </c>
      <c r="F1194" s="15" t="str">
        <f>IF(ISNA(VLOOKUP(C1194,P:R,3,0)),"",VLOOKUP(C1194,P:R,3,0))</f>
        <v/>
      </c>
      <c r="G1194">
        <f>ROUND(IF(D1194&gt;0,0,ABS(D1194)),2)</f>
        <v>0</v>
      </c>
      <c r="H1194">
        <f>ROUND(IF(D1194&gt;0,D1194,),2)</f>
        <v>0</v>
      </c>
      <c r="K1194" s="7"/>
      <c r="N1194" s="7"/>
      <c r="P1194" s="8"/>
      <c r="Q1194" s="5"/>
      <c r="R1194" s="5"/>
      <c r="AF1194" s="14"/>
    </row>
    <row r="1195" spans="1:32" customFormat="1" x14ac:dyDescent="0.25">
      <c r="A1195" s="9"/>
      <c r="C1195" s="14"/>
      <c r="E1195" t="str">
        <f>IF(ISNA(VLOOKUP(C1195,P:Q,2,0)),"",VLOOKUP(C1195,P:Q,2,0))</f>
        <v/>
      </c>
      <c r="F1195" s="15" t="str">
        <f>IF(ISNA(VLOOKUP(C1195,P:R,3,0)),"",VLOOKUP(C1195,P:R,3,0))</f>
        <v/>
      </c>
      <c r="G1195">
        <f>ROUND(IF(D1195&gt;0,0,ABS(D1195)),2)</f>
        <v>0</v>
      </c>
      <c r="H1195">
        <f>ROUND(IF(D1195&gt;0,D1195,),2)</f>
        <v>0</v>
      </c>
      <c r="K1195" s="7"/>
      <c r="N1195" s="7"/>
      <c r="P1195" s="8"/>
      <c r="Q1195" s="5"/>
      <c r="R1195" s="5"/>
      <c r="AF1195" s="14"/>
    </row>
    <row r="1196" spans="1:32" customFormat="1" x14ac:dyDescent="0.25">
      <c r="A1196" s="9"/>
      <c r="C1196" s="14"/>
      <c r="E1196" t="str">
        <f>IF(ISNA(VLOOKUP(C1196,P:Q,2,0)),"",VLOOKUP(C1196,P:Q,2,0))</f>
        <v/>
      </c>
      <c r="F1196" s="15" t="str">
        <f>IF(ISNA(VLOOKUP(C1196,P:R,3,0)),"",VLOOKUP(C1196,P:R,3,0))</f>
        <v/>
      </c>
      <c r="G1196">
        <f>ROUND(IF(D1196&gt;0,0,ABS(D1196)),2)</f>
        <v>0</v>
      </c>
      <c r="H1196">
        <f>ROUND(IF(D1196&gt;0,D1196,),2)</f>
        <v>0</v>
      </c>
      <c r="K1196" s="7"/>
      <c r="N1196" s="7"/>
      <c r="P1196" s="8"/>
      <c r="Q1196" s="5"/>
      <c r="R1196" s="5"/>
      <c r="AF1196" s="14"/>
    </row>
    <row r="1197" spans="1:32" customFormat="1" x14ac:dyDescent="0.25">
      <c r="A1197" s="9"/>
      <c r="C1197" s="14"/>
      <c r="E1197" t="str">
        <f>IF(ISNA(VLOOKUP(C1197,P:Q,2,0)),"",VLOOKUP(C1197,P:Q,2,0))</f>
        <v/>
      </c>
      <c r="F1197" s="15" t="str">
        <f>IF(ISNA(VLOOKUP(C1197,P:R,3,0)),"",VLOOKUP(C1197,P:R,3,0))</f>
        <v/>
      </c>
      <c r="G1197">
        <f>ROUND(IF(D1197&gt;0,0,ABS(D1197)),2)</f>
        <v>0</v>
      </c>
      <c r="H1197">
        <f>ROUND(IF(D1197&gt;0,D1197,),2)</f>
        <v>0</v>
      </c>
      <c r="K1197" s="7"/>
      <c r="N1197" s="7"/>
      <c r="P1197" s="8"/>
      <c r="Q1197" s="5"/>
      <c r="R1197" s="5"/>
      <c r="AF1197" s="14"/>
    </row>
    <row r="1198" spans="1:32" customFormat="1" x14ac:dyDescent="0.25">
      <c r="A1198" s="9"/>
      <c r="C1198" s="14"/>
      <c r="E1198" t="str">
        <f>IF(ISNA(VLOOKUP(C1198,P:Q,2,0)),"",VLOOKUP(C1198,P:Q,2,0))</f>
        <v/>
      </c>
      <c r="F1198" s="15" t="str">
        <f>IF(ISNA(VLOOKUP(C1198,P:R,3,0)),"",VLOOKUP(C1198,P:R,3,0))</f>
        <v/>
      </c>
      <c r="G1198">
        <f>ROUND(IF(D1198&gt;0,0,ABS(D1198)),2)</f>
        <v>0</v>
      </c>
      <c r="H1198">
        <f>ROUND(IF(D1198&gt;0,D1198,),2)</f>
        <v>0</v>
      </c>
      <c r="K1198" s="7"/>
      <c r="N1198" s="7"/>
      <c r="P1198" s="8"/>
      <c r="Q1198" s="5"/>
      <c r="R1198" s="5"/>
      <c r="AF1198" s="14"/>
    </row>
    <row r="1199" spans="1:32" customFormat="1" x14ac:dyDescent="0.25">
      <c r="A1199" s="9"/>
      <c r="C1199" s="14"/>
      <c r="E1199" t="str">
        <f>IF(ISNA(VLOOKUP(C1199,P:Q,2,0)),"",VLOOKUP(C1199,P:Q,2,0))</f>
        <v/>
      </c>
      <c r="F1199" s="15" t="str">
        <f>IF(ISNA(VLOOKUP(C1199,P:R,3,0)),"",VLOOKUP(C1199,P:R,3,0))</f>
        <v/>
      </c>
      <c r="G1199">
        <f>ROUND(IF(D1199&gt;0,0,ABS(D1199)),2)</f>
        <v>0</v>
      </c>
      <c r="H1199">
        <f>ROUND(IF(D1199&gt;0,D1199,),2)</f>
        <v>0</v>
      </c>
      <c r="K1199" s="7"/>
      <c r="N1199" s="7"/>
      <c r="P1199" s="8"/>
      <c r="Q1199" s="5"/>
      <c r="R1199" s="5"/>
      <c r="AF1199" s="14"/>
    </row>
    <row r="1200" spans="1:32" customFormat="1" x14ac:dyDescent="0.25">
      <c r="A1200" s="9"/>
      <c r="C1200" s="14"/>
      <c r="E1200" t="str">
        <f>IF(ISNA(VLOOKUP(C1200,P:Q,2,0)),"",VLOOKUP(C1200,P:Q,2,0))</f>
        <v/>
      </c>
      <c r="F1200" s="15" t="str">
        <f>IF(ISNA(VLOOKUP(C1200,P:R,3,0)),"",VLOOKUP(C1200,P:R,3,0))</f>
        <v/>
      </c>
      <c r="G1200">
        <f>ROUND(IF(D1200&gt;0,0,ABS(D1200)),2)</f>
        <v>0</v>
      </c>
      <c r="H1200">
        <f>ROUND(IF(D1200&gt;0,D1200,),2)</f>
        <v>0</v>
      </c>
      <c r="K1200" s="7"/>
      <c r="N1200" s="7"/>
      <c r="P1200" s="8"/>
      <c r="Q1200" s="5"/>
      <c r="R1200" s="5"/>
      <c r="AF1200" s="14"/>
    </row>
    <row r="1201" spans="1:32" customFormat="1" x14ac:dyDescent="0.25">
      <c r="A1201" s="9"/>
      <c r="C1201" s="14"/>
      <c r="E1201" t="str">
        <f>IF(ISNA(VLOOKUP(C1201,P:Q,2,0)),"",VLOOKUP(C1201,P:Q,2,0))</f>
        <v/>
      </c>
      <c r="F1201" s="15" t="str">
        <f>IF(ISNA(VLOOKUP(C1201,P:R,3,0)),"",VLOOKUP(C1201,P:R,3,0))</f>
        <v/>
      </c>
      <c r="G1201">
        <f>ROUND(IF(D1201&gt;0,0,ABS(D1201)),2)</f>
        <v>0</v>
      </c>
      <c r="H1201">
        <f>ROUND(IF(D1201&gt;0,D1201,),2)</f>
        <v>0</v>
      </c>
      <c r="K1201" s="7"/>
      <c r="N1201" s="7"/>
      <c r="P1201" s="8"/>
      <c r="Q1201" s="5"/>
      <c r="R1201" s="5"/>
      <c r="AF1201" s="14"/>
    </row>
    <row r="1202" spans="1:32" customFormat="1" x14ac:dyDescent="0.25">
      <c r="A1202" s="9"/>
      <c r="C1202" s="14"/>
      <c r="E1202" t="str">
        <f>IF(ISNA(VLOOKUP(C1202,P:Q,2,0)),"",VLOOKUP(C1202,P:Q,2,0))</f>
        <v/>
      </c>
      <c r="F1202" s="15" t="str">
        <f>IF(ISNA(VLOOKUP(C1202,P:R,3,0)),"",VLOOKUP(C1202,P:R,3,0))</f>
        <v/>
      </c>
      <c r="G1202">
        <f>ROUND(IF(D1202&gt;0,0,ABS(D1202)),2)</f>
        <v>0</v>
      </c>
      <c r="H1202">
        <f>ROUND(IF(D1202&gt;0,D1202,),2)</f>
        <v>0</v>
      </c>
      <c r="K1202" s="7"/>
      <c r="N1202" s="7"/>
      <c r="P1202" s="8"/>
      <c r="Q1202" s="5"/>
      <c r="R1202" s="5"/>
      <c r="AF1202" s="14"/>
    </row>
    <row r="1203" spans="1:32" customFormat="1" x14ac:dyDescent="0.25">
      <c r="A1203" s="9"/>
      <c r="C1203" s="14"/>
      <c r="E1203" t="str">
        <f>IF(ISNA(VLOOKUP(C1203,P:Q,2,0)),"",VLOOKUP(C1203,P:Q,2,0))</f>
        <v/>
      </c>
      <c r="F1203" s="15" t="str">
        <f>IF(ISNA(VLOOKUP(C1203,P:R,3,0)),"",VLOOKUP(C1203,P:R,3,0))</f>
        <v/>
      </c>
      <c r="G1203">
        <f>ROUND(IF(D1203&gt;0,0,ABS(D1203)),2)</f>
        <v>0</v>
      </c>
      <c r="H1203">
        <f>ROUND(IF(D1203&gt;0,D1203,),2)</f>
        <v>0</v>
      </c>
      <c r="K1203" s="7"/>
      <c r="N1203" s="7"/>
      <c r="P1203" s="8"/>
      <c r="Q1203" s="5"/>
      <c r="R1203" s="5"/>
      <c r="AF1203" s="14"/>
    </row>
    <row r="1204" spans="1:32" customFormat="1" x14ac:dyDescent="0.25">
      <c r="A1204" s="9"/>
      <c r="C1204" s="14"/>
      <c r="E1204" t="str">
        <f>IF(ISNA(VLOOKUP(C1204,P:Q,2,0)),"",VLOOKUP(C1204,P:Q,2,0))</f>
        <v/>
      </c>
      <c r="F1204" s="15" t="str">
        <f>IF(ISNA(VLOOKUP(C1204,P:R,3,0)),"",VLOOKUP(C1204,P:R,3,0))</f>
        <v/>
      </c>
      <c r="G1204">
        <f>ROUND(IF(D1204&gt;0,0,ABS(D1204)),2)</f>
        <v>0</v>
      </c>
      <c r="H1204">
        <f>ROUND(IF(D1204&gt;0,D1204,),2)</f>
        <v>0</v>
      </c>
      <c r="K1204" s="7"/>
      <c r="N1204" s="7"/>
      <c r="P1204" s="8"/>
      <c r="Q1204" s="5"/>
      <c r="R1204" s="5"/>
      <c r="AF1204" s="14"/>
    </row>
    <row r="1205" spans="1:32" customFormat="1" x14ac:dyDescent="0.25">
      <c r="A1205" s="9"/>
      <c r="C1205" s="14"/>
      <c r="E1205" t="str">
        <f>IF(ISNA(VLOOKUP(C1205,P:Q,2,0)),"",VLOOKUP(C1205,P:Q,2,0))</f>
        <v/>
      </c>
      <c r="F1205" s="15" t="str">
        <f>IF(ISNA(VLOOKUP(C1205,P:R,3,0)),"",VLOOKUP(C1205,P:R,3,0))</f>
        <v/>
      </c>
      <c r="G1205">
        <f>ROUND(IF(D1205&gt;0,0,ABS(D1205)),2)</f>
        <v>0</v>
      </c>
      <c r="H1205">
        <f>ROUND(IF(D1205&gt;0,D1205,),2)</f>
        <v>0</v>
      </c>
      <c r="K1205" s="7"/>
      <c r="N1205" s="7"/>
      <c r="P1205" s="8"/>
      <c r="Q1205" s="5"/>
      <c r="R1205" s="5"/>
      <c r="AF1205" s="14"/>
    </row>
    <row r="1206" spans="1:32" customFormat="1" x14ac:dyDescent="0.25">
      <c r="A1206" s="9"/>
      <c r="C1206" s="14"/>
      <c r="E1206" t="str">
        <f>IF(ISNA(VLOOKUP(C1206,P:Q,2,0)),"",VLOOKUP(C1206,P:Q,2,0))</f>
        <v/>
      </c>
      <c r="F1206" s="15" t="str">
        <f>IF(ISNA(VLOOKUP(C1206,P:R,3,0)),"",VLOOKUP(C1206,P:R,3,0))</f>
        <v/>
      </c>
      <c r="G1206">
        <f>ROUND(IF(D1206&gt;0,0,ABS(D1206)),2)</f>
        <v>0</v>
      </c>
      <c r="H1206">
        <f>ROUND(IF(D1206&gt;0,D1206,),2)</f>
        <v>0</v>
      </c>
      <c r="K1206" s="7"/>
      <c r="N1206" s="7"/>
      <c r="P1206" s="8"/>
      <c r="Q1206" s="5"/>
      <c r="R1206" s="5"/>
      <c r="AF1206" s="14"/>
    </row>
    <row r="1207" spans="1:32" customFormat="1" x14ac:dyDescent="0.25">
      <c r="A1207" s="9"/>
      <c r="C1207" s="14"/>
      <c r="E1207" t="str">
        <f>IF(ISNA(VLOOKUP(C1207,P:Q,2,0)),"",VLOOKUP(C1207,P:Q,2,0))</f>
        <v/>
      </c>
      <c r="F1207" s="15" t="str">
        <f>IF(ISNA(VLOOKUP(C1207,P:R,3,0)),"",VLOOKUP(C1207,P:R,3,0))</f>
        <v/>
      </c>
      <c r="G1207">
        <f>ROUND(IF(D1207&gt;0,0,ABS(D1207)),2)</f>
        <v>0</v>
      </c>
      <c r="H1207">
        <f>ROUND(IF(D1207&gt;0,D1207,),2)</f>
        <v>0</v>
      </c>
      <c r="K1207" s="7"/>
      <c r="N1207" s="7"/>
      <c r="P1207" s="8"/>
      <c r="Q1207" s="5"/>
      <c r="R1207" s="5"/>
      <c r="AF1207" s="14"/>
    </row>
    <row r="1208" spans="1:32" customFormat="1" x14ac:dyDescent="0.25">
      <c r="A1208" s="9"/>
      <c r="C1208" s="14"/>
      <c r="E1208" t="str">
        <f>IF(ISNA(VLOOKUP(C1208,P:Q,2,0)),"",VLOOKUP(C1208,P:Q,2,0))</f>
        <v/>
      </c>
      <c r="F1208" s="15" t="str">
        <f>IF(ISNA(VLOOKUP(C1208,P:R,3,0)),"",VLOOKUP(C1208,P:R,3,0))</f>
        <v/>
      </c>
      <c r="G1208">
        <f>ROUND(IF(D1208&gt;0,0,ABS(D1208)),2)</f>
        <v>0</v>
      </c>
      <c r="H1208">
        <f>ROUND(IF(D1208&gt;0,D1208,),2)</f>
        <v>0</v>
      </c>
      <c r="K1208" s="7"/>
      <c r="N1208" s="7"/>
      <c r="P1208" s="8"/>
      <c r="Q1208" s="5"/>
      <c r="R1208" s="5"/>
      <c r="AF1208" s="14"/>
    </row>
    <row r="1209" spans="1:32" customFormat="1" x14ac:dyDescent="0.25">
      <c r="A1209" s="9"/>
      <c r="C1209" s="14"/>
      <c r="E1209" t="str">
        <f>IF(ISNA(VLOOKUP(C1209,P:Q,2,0)),"",VLOOKUP(C1209,P:Q,2,0))</f>
        <v/>
      </c>
      <c r="F1209" s="15" t="str">
        <f>IF(ISNA(VLOOKUP(C1209,P:R,3,0)),"",VLOOKUP(C1209,P:R,3,0))</f>
        <v/>
      </c>
      <c r="G1209">
        <f>ROUND(IF(D1209&gt;0,0,ABS(D1209)),2)</f>
        <v>0</v>
      </c>
      <c r="H1209">
        <f>ROUND(IF(D1209&gt;0,D1209,),2)</f>
        <v>0</v>
      </c>
      <c r="K1209" s="7"/>
      <c r="N1209" s="7"/>
      <c r="P1209" s="8"/>
      <c r="Q1209" s="5"/>
      <c r="R1209" s="5"/>
      <c r="AF1209" s="14"/>
    </row>
    <row r="1210" spans="1:32" customFormat="1" x14ac:dyDescent="0.25">
      <c r="A1210" s="9"/>
      <c r="C1210" s="14"/>
      <c r="E1210" t="str">
        <f>IF(ISNA(VLOOKUP(C1210,P:Q,2,0)),"",VLOOKUP(C1210,P:Q,2,0))</f>
        <v/>
      </c>
      <c r="F1210" s="15" t="str">
        <f>IF(ISNA(VLOOKUP(C1210,P:R,3,0)),"",VLOOKUP(C1210,P:R,3,0))</f>
        <v/>
      </c>
      <c r="G1210">
        <f>ROUND(IF(D1210&gt;0,0,ABS(D1210)),2)</f>
        <v>0</v>
      </c>
      <c r="H1210">
        <f>ROUND(IF(D1210&gt;0,D1210,),2)</f>
        <v>0</v>
      </c>
      <c r="K1210" s="7"/>
      <c r="N1210" s="7"/>
      <c r="P1210" s="8"/>
      <c r="Q1210" s="5"/>
      <c r="R1210" s="5"/>
      <c r="AF1210" s="14"/>
    </row>
    <row r="1211" spans="1:32" customFormat="1" x14ac:dyDescent="0.25">
      <c r="A1211" s="9"/>
      <c r="C1211" s="14"/>
      <c r="E1211" t="str">
        <f>IF(ISNA(VLOOKUP(C1211,P:Q,2,0)),"",VLOOKUP(C1211,P:Q,2,0))</f>
        <v/>
      </c>
      <c r="F1211" s="15" t="str">
        <f>IF(ISNA(VLOOKUP(C1211,P:R,3,0)),"",VLOOKUP(C1211,P:R,3,0))</f>
        <v/>
      </c>
      <c r="G1211">
        <f>ROUND(IF(D1211&gt;0,0,ABS(D1211)),2)</f>
        <v>0</v>
      </c>
      <c r="H1211">
        <f>ROUND(IF(D1211&gt;0,D1211,),2)</f>
        <v>0</v>
      </c>
      <c r="K1211" s="7"/>
      <c r="N1211" s="7"/>
      <c r="P1211" s="8"/>
      <c r="Q1211" s="5"/>
      <c r="R1211" s="5"/>
      <c r="AF1211" s="14"/>
    </row>
    <row r="1212" spans="1:32" customFormat="1" x14ac:dyDescent="0.25">
      <c r="A1212" s="9"/>
      <c r="C1212" s="14"/>
      <c r="E1212" t="str">
        <f>IF(ISNA(VLOOKUP(C1212,P:Q,2,0)),"",VLOOKUP(C1212,P:Q,2,0))</f>
        <v/>
      </c>
      <c r="F1212" s="15" t="str">
        <f>IF(ISNA(VLOOKUP(C1212,P:R,3,0)),"",VLOOKUP(C1212,P:R,3,0))</f>
        <v/>
      </c>
      <c r="G1212">
        <f>ROUND(IF(D1212&gt;0,0,ABS(D1212)),2)</f>
        <v>0</v>
      </c>
      <c r="H1212">
        <f>ROUND(IF(D1212&gt;0,D1212,),2)</f>
        <v>0</v>
      </c>
      <c r="K1212" s="7"/>
      <c r="N1212" s="7"/>
      <c r="P1212" s="8"/>
      <c r="Q1212" s="5"/>
      <c r="R1212" s="5"/>
      <c r="AF1212" s="14"/>
    </row>
    <row r="1213" spans="1:32" customFormat="1" x14ac:dyDescent="0.25">
      <c r="A1213" s="9"/>
      <c r="C1213" s="14"/>
      <c r="E1213" t="str">
        <f>IF(ISNA(VLOOKUP(C1213,P:Q,2,0)),"",VLOOKUP(C1213,P:Q,2,0))</f>
        <v/>
      </c>
      <c r="F1213" s="15" t="str">
        <f>IF(ISNA(VLOOKUP(C1213,P:R,3,0)),"",VLOOKUP(C1213,P:R,3,0))</f>
        <v/>
      </c>
      <c r="G1213">
        <f>ROUND(IF(D1213&gt;0,0,ABS(D1213)),2)</f>
        <v>0</v>
      </c>
      <c r="H1213">
        <f>ROUND(IF(D1213&gt;0,D1213,),2)</f>
        <v>0</v>
      </c>
      <c r="K1213" s="7"/>
      <c r="N1213" s="7"/>
      <c r="P1213" s="8"/>
      <c r="Q1213" s="5"/>
      <c r="R1213" s="5"/>
      <c r="AF1213" s="14"/>
    </row>
    <row r="1214" spans="1:32" customFormat="1" x14ac:dyDescent="0.25">
      <c r="A1214" s="9"/>
      <c r="C1214" s="14"/>
      <c r="E1214" t="str">
        <f>IF(ISNA(VLOOKUP(C1214,P:Q,2,0)),"",VLOOKUP(C1214,P:Q,2,0))</f>
        <v/>
      </c>
      <c r="F1214" s="15" t="str">
        <f>IF(ISNA(VLOOKUP(C1214,P:R,3,0)),"",VLOOKUP(C1214,P:R,3,0))</f>
        <v/>
      </c>
      <c r="G1214">
        <f>ROUND(IF(D1214&gt;0,0,ABS(D1214)),2)</f>
        <v>0</v>
      </c>
      <c r="H1214">
        <f>ROUND(IF(D1214&gt;0,D1214,),2)</f>
        <v>0</v>
      </c>
      <c r="K1214" s="7"/>
      <c r="N1214" s="7"/>
      <c r="P1214" s="8"/>
      <c r="Q1214" s="5"/>
      <c r="R1214" s="5"/>
      <c r="AF1214" s="14"/>
    </row>
    <row r="1215" spans="1:32" customFormat="1" x14ac:dyDescent="0.25">
      <c r="A1215" s="9"/>
      <c r="C1215" s="14"/>
      <c r="E1215" t="str">
        <f>IF(ISNA(VLOOKUP(C1215,P:Q,2,0)),"",VLOOKUP(C1215,P:Q,2,0))</f>
        <v/>
      </c>
      <c r="F1215" s="15" t="str">
        <f>IF(ISNA(VLOOKUP(C1215,P:R,3,0)),"",VLOOKUP(C1215,P:R,3,0))</f>
        <v/>
      </c>
      <c r="G1215">
        <f>ROUND(IF(D1215&gt;0,0,ABS(D1215)),2)</f>
        <v>0</v>
      </c>
      <c r="H1215">
        <f>ROUND(IF(D1215&gt;0,D1215,),2)</f>
        <v>0</v>
      </c>
      <c r="K1215" s="7"/>
      <c r="N1215" s="7"/>
      <c r="P1215" s="8"/>
      <c r="Q1215" s="5"/>
      <c r="R1215" s="5"/>
      <c r="AF1215" s="14"/>
    </row>
    <row r="1216" spans="1:32" customFormat="1" x14ac:dyDescent="0.25">
      <c r="A1216" s="9"/>
      <c r="C1216" s="14"/>
      <c r="E1216" t="str">
        <f>IF(ISNA(VLOOKUP(C1216,P:Q,2,0)),"",VLOOKUP(C1216,P:Q,2,0))</f>
        <v/>
      </c>
      <c r="F1216" s="15" t="str">
        <f>IF(ISNA(VLOOKUP(C1216,P:R,3,0)),"",VLOOKUP(C1216,P:R,3,0))</f>
        <v/>
      </c>
      <c r="G1216">
        <f>ROUND(IF(D1216&gt;0,0,ABS(D1216)),2)</f>
        <v>0</v>
      </c>
      <c r="H1216">
        <f>ROUND(IF(D1216&gt;0,D1216,),2)</f>
        <v>0</v>
      </c>
      <c r="K1216" s="7"/>
      <c r="N1216" s="7"/>
      <c r="P1216" s="8"/>
      <c r="Q1216" s="5"/>
      <c r="R1216" s="5"/>
      <c r="AF1216" s="14"/>
    </row>
    <row r="1217" spans="1:32" customFormat="1" x14ac:dyDescent="0.25">
      <c r="A1217" s="9"/>
      <c r="C1217" s="14"/>
      <c r="E1217" t="str">
        <f>IF(ISNA(VLOOKUP(C1217,P:Q,2,0)),"",VLOOKUP(C1217,P:Q,2,0))</f>
        <v/>
      </c>
      <c r="F1217" s="15" t="str">
        <f>IF(ISNA(VLOOKUP(C1217,P:R,3,0)),"",VLOOKUP(C1217,P:R,3,0))</f>
        <v/>
      </c>
      <c r="G1217">
        <f>ROUND(IF(D1217&gt;0,0,ABS(D1217)),2)</f>
        <v>0</v>
      </c>
      <c r="H1217">
        <f>ROUND(IF(D1217&gt;0,D1217,),2)</f>
        <v>0</v>
      </c>
      <c r="K1217" s="7"/>
      <c r="N1217" s="7"/>
      <c r="P1217" s="8"/>
      <c r="Q1217" s="5"/>
      <c r="R1217" s="5"/>
      <c r="AF1217" s="14"/>
    </row>
    <row r="1218" spans="1:32" customFormat="1" x14ac:dyDescent="0.25">
      <c r="A1218" s="9"/>
      <c r="C1218" s="14"/>
      <c r="E1218" t="str">
        <f>IF(ISNA(VLOOKUP(C1218,P:Q,2,0)),"",VLOOKUP(C1218,P:Q,2,0))</f>
        <v/>
      </c>
      <c r="F1218" s="15" t="str">
        <f>IF(ISNA(VLOOKUP(C1218,P:R,3,0)),"",VLOOKUP(C1218,P:R,3,0))</f>
        <v/>
      </c>
      <c r="G1218">
        <f>ROUND(IF(D1218&gt;0,0,ABS(D1218)),2)</f>
        <v>0</v>
      </c>
      <c r="H1218">
        <f>ROUND(IF(D1218&gt;0,D1218,),2)</f>
        <v>0</v>
      </c>
      <c r="K1218" s="7"/>
      <c r="N1218" s="7"/>
      <c r="P1218" s="8"/>
      <c r="Q1218" s="5"/>
      <c r="R1218" s="5"/>
      <c r="AF1218" s="14"/>
    </row>
    <row r="1219" spans="1:32" customFormat="1" x14ac:dyDescent="0.25">
      <c r="A1219" s="9"/>
      <c r="C1219" s="14"/>
      <c r="E1219" t="str">
        <f>IF(ISNA(VLOOKUP(C1219,P:Q,2,0)),"",VLOOKUP(C1219,P:Q,2,0))</f>
        <v/>
      </c>
      <c r="F1219" s="15" t="str">
        <f>IF(ISNA(VLOOKUP(C1219,P:R,3,0)),"",VLOOKUP(C1219,P:R,3,0))</f>
        <v/>
      </c>
      <c r="G1219">
        <f>ROUND(IF(D1219&gt;0,0,ABS(D1219)),2)</f>
        <v>0</v>
      </c>
      <c r="H1219">
        <f>ROUND(IF(D1219&gt;0,D1219,),2)</f>
        <v>0</v>
      </c>
      <c r="K1219" s="7"/>
      <c r="N1219" s="7"/>
      <c r="P1219" s="8"/>
      <c r="Q1219" s="5"/>
      <c r="R1219" s="5"/>
      <c r="AF1219" s="14"/>
    </row>
    <row r="1220" spans="1:32" customFormat="1" x14ac:dyDescent="0.25">
      <c r="A1220" s="9"/>
      <c r="C1220" s="14"/>
      <c r="E1220" t="str">
        <f>IF(ISNA(VLOOKUP(C1220,P:Q,2,0)),"",VLOOKUP(C1220,P:Q,2,0))</f>
        <v/>
      </c>
      <c r="F1220" s="15" t="str">
        <f>IF(ISNA(VLOOKUP(C1220,P:R,3,0)),"",VLOOKUP(C1220,P:R,3,0))</f>
        <v/>
      </c>
      <c r="G1220">
        <f>ROUND(IF(D1220&gt;0,0,ABS(D1220)),2)</f>
        <v>0</v>
      </c>
      <c r="H1220">
        <f>ROUND(IF(D1220&gt;0,D1220,),2)</f>
        <v>0</v>
      </c>
      <c r="K1220" s="7"/>
      <c r="N1220" s="7"/>
      <c r="P1220" s="8"/>
      <c r="Q1220" s="5"/>
      <c r="R1220" s="5"/>
      <c r="AF1220" s="14"/>
    </row>
    <row r="1221" spans="1:32" customFormat="1" x14ac:dyDescent="0.25">
      <c r="A1221" s="9"/>
      <c r="C1221" s="14"/>
      <c r="E1221" t="str">
        <f>IF(ISNA(VLOOKUP(C1221,P:Q,2,0)),"",VLOOKUP(C1221,P:Q,2,0))</f>
        <v/>
      </c>
      <c r="F1221" s="15" t="str">
        <f>IF(ISNA(VLOOKUP(C1221,P:R,3,0)),"",VLOOKUP(C1221,P:R,3,0))</f>
        <v/>
      </c>
      <c r="G1221">
        <f>ROUND(IF(D1221&gt;0,0,ABS(D1221)),2)</f>
        <v>0</v>
      </c>
      <c r="H1221">
        <f>ROUND(IF(D1221&gt;0,D1221,),2)</f>
        <v>0</v>
      </c>
      <c r="K1221" s="7"/>
      <c r="N1221" s="7"/>
      <c r="P1221" s="8"/>
      <c r="Q1221" s="5"/>
      <c r="R1221" s="5"/>
      <c r="AF1221" s="14"/>
    </row>
    <row r="1222" spans="1:32" customFormat="1" x14ac:dyDescent="0.25">
      <c r="A1222" s="9"/>
      <c r="C1222" s="14"/>
      <c r="E1222" t="str">
        <f>IF(ISNA(VLOOKUP(C1222,P:Q,2,0)),"",VLOOKUP(C1222,P:Q,2,0))</f>
        <v/>
      </c>
      <c r="F1222" s="15" t="str">
        <f>IF(ISNA(VLOOKUP(C1222,P:R,3,0)),"",VLOOKUP(C1222,P:R,3,0))</f>
        <v/>
      </c>
      <c r="G1222">
        <f>ROUND(IF(D1222&gt;0,0,ABS(D1222)),2)</f>
        <v>0</v>
      </c>
      <c r="H1222">
        <f>ROUND(IF(D1222&gt;0,D1222,),2)</f>
        <v>0</v>
      </c>
      <c r="K1222" s="7"/>
      <c r="N1222" s="7"/>
      <c r="P1222" s="8"/>
      <c r="Q1222" s="5"/>
      <c r="R1222" s="5"/>
      <c r="AF1222" s="14"/>
    </row>
    <row r="1223" spans="1:32" customFormat="1" x14ac:dyDescent="0.25">
      <c r="A1223" s="9"/>
      <c r="C1223" s="14"/>
      <c r="E1223" t="str">
        <f>IF(ISNA(VLOOKUP(C1223,P:Q,2,0)),"",VLOOKUP(C1223,P:Q,2,0))</f>
        <v/>
      </c>
      <c r="F1223" s="15" t="str">
        <f>IF(ISNA(VLOOKUP(C1223,P:R,3,0)),"",VLOOKUP(C1223,P:R,3,0))</f>
        <v/>
      </c>
      <c r="G1223">
        <f>ROUND(IF(D1223&gt;0,0,ABS(D1223)),2)</f>
        <v>0</v>
      </c>
      <c r="H1223">
        <f>ROUND(IF(D1223&gt;0,D1223,),2)</f>
        <v>0</v>
      </c>
      <c r="K1223" s="7"/>
      <c r="N1223" s="7"/>
      <c r="P1223" s="8"/>
      <c r="Q1223" s="5"/>
      <c r="R1223" s="5"/>
      <c r="AF1223" s="14"/>
    </row>
    <row r="1224" spans="1:32" customFormat="1" x14ac:dyDescent="0.25">
      <c r="A1224" s="9"/>
      <c r="C1224" s="14"/>
      <c r="E1224" t="str">
        <f>IF(ISNA(VLOOKUP(C1224,P:Q,2,0)),"",VLOOKUP(C1224,P:Q,2,0))</f>
        <v/>
      </c>
      <c r="F1224" s="15" t="str">
        <f>IF(ISNA(VLOOKUP(C1224,P:R,3,0)),"",VLOOKUP(C1224,P:R,3,0))</f>
        <v/>
      </c>
      <c r="G1224">
        <f>ROUND(IF(D1224&gt;0,0,ABS(D1224)),2)</f>
        <v>0</v>
      </c>
      <c r="H1224">
        <f>ROUND(IF(D1224&gt;0,D1224,),2)</f>
        <v>0</v>
      </c>
      <c r="K1224" s="7"/>
      <c r="N1224" s="7"/>
      <c r="P1224" s="8"/>
      <c r="Q1224" s="5"/>
      <c r="R1224" s="5"/>
      <c r="AF1224" s="14"/>
    </row>
    <row r="1225" spans="1:32" customFormat="1" x14ac:dyDescent="0.25">
      <c r="A1225" s="9"/>
      <c r="C1225" s="14"/>
      <c r="E1225" t="str">
        <f>IF(ISNA(VLOOKUP(C1225,P:Q,2,0)),"",VLOOKUP(C1225,P:Q,2,0))</f>
        <v/>
      </c>
      <c r="F1225" s="15" t="str">
        <f>IF(ISNA(VLOOKUP(C1225,P:R,3,0)),"",VLOOKUP(C1225,P:R,3,0))</f>
        <v/>
      </c>
      <c r="G1225">
        <f>ROUND(IF(D1225&gt;0,0,ABS(D1225)),2)</f>
        <v>0</v>
      </c>
      <c r="H1225">
        <f>ROUND(IF(D1225&gt;0,D1225,),2)</f>
        <v>0</v>
      </c>
      <c r="K1225" s="7"/>
      <c r="N1225" s="7"/>
      <c r="P1225" s="8"/>
      <c r="Q1225" s="5"/>
      <c r="R1225" s="5"/>
      <c r="AF1225" s="14"/>
    </row>
    <row r="1226" spans="1:32" customFormat="1" x14ac:dyDescent="0.25">
      <c r="A1226" s="9"/>
      <c r="C1226" s="14"/>
      <c r="E1226" t="str">
        <f>IF(ISNA(VLOOKUP(C1226,P:Q,2,0)),"",VLOOKUP(C1226,P:Q,2,0))</f>
        <v/>
      </c>
      <c r="F1226" s="15" t="str">
        <f>IF(ISNA(VLOOKUP(C1226,P:R,3,0)),"",VLOOKUP(C1226,P:R,3,0))</f>
        <v/>
      </c>
      <c r="G1226">
        <f>ROUND(IF(D1226&gt;0,0,ABS(D1226)),2)</f>
        <v>0</v>
      </c>
      <c r="H1226">
        <f>ROUND(IF(D1226&gt;0,D1226,),2)</f>
        <v>0</v>
      </c>
      <c r="K1226" s="7"/>
      <c r="N1226" s="7"/>
      <c r="P1226" s="8"/>
      <c r="Q1226" s="5"/>
      <c r="R1226" s="5"/>
      <c r="AF1226" s="14"/>
    </row>
    <row r="1227" spans="1:32" customFormat="1" x14ac:dyDescent="0.25">
      <c r="A1227" s="9"/>
      <c r="C1227" s="14"/>
      <c r="E1227" t="str">
        <f>IF(ISNA(VLOOKUP(C1227,P:Q,2,0)),"",VLOOKUP(C1227,P:Q,2,0))</f>
        <v/>
      </c>
      <c r="F1227" s="15" t="str">
        <f>IF(ISNA(VLOOKUP(C1227,P:R,3,0)),"",VLOOKUP(C1227,P:R,3,0))</f>
        <v/>
      </c>
      <c r="G1227">
        <f>ROUND(IF(D1227&gt;0,0,ABS(D1227)),2)</f>
        <v>0</v>
      </c>
      <c r="H1227">
        <f>ROUND(IF(D1227&gt;0,D1227,),2)</f>
        <v>0</v>
      </c>
      <c r="K1227" s="7"/>
      <c r="N1227" s="7"/>
      <c r="P1227" s="8"/>
      <c r="Q1227" s="5"/>
      <c r="R1227" s="5"/>
      <c r="AF1227" s="14"/>
    </row>
    <row r="1228" spans="1:32" customFormat="1" x14ac:dyDescent="0.25">
      <c r="A1228" s="9"/>
      <c r="C1228" s="14"/>
      <c r="E1228" t="str">
        <f>IF(ISNA(VLOOKUP(C1228,P:Q,2,0)),"",VLOOKUP(C1228,P:Q,2,0))</f>
        <v/>
      </c>
      <c r="F1228" s="15" t="str">
        <f>IF(ISNA(VLOOKUP(C1228,P:R,3,0)),"",VLOOKUP(C1228,P:R,3,0))</f>
        <v/>
      </c>
      <c r="G1228">
        <f>ROUND(IF(D1228&gt;0,0,ABS(D1228)),2)</f>
        <v>0</v>
      </c>
      <c r="H1228">
        <f>ROUND(IF(D1228&gt;0,D1228,),2)</f>
        <v>0</v>
      </c>
      <c r="K1228" s="7"/>
      <c r="N1228" s="7"/>
      <c r="P1228" s="8"/>
      <c r="Q1228" s="5"/>
      <c r="R1228" s="5"/>
      <c r="AF1228" s="14"/>
    </row>
    <row r="1229" spans="1:32" customFormat="1" x14ac:dyDescent="0.25">
      <c r="A1229" s="9"/>
      <c r="C1229" s="14"/>
      <c r="E1229" t="str">
        <f>IF(ISNA(VLOOKUP(C1229,P:Q,2,0)),"",VLOOKUP(C1229,P:Q,2,0))</f>
        <v/>
      </c>
      <c r="F1229" s="15" t="str">
        <f>IF(ISNA(VLOOKUP(C1229,P:R,3,0)),"",VLOOKUP(C1229,P:R,3,0))</f>
        <v/>
      </c>
      <c r="G1229">
        <f>ROUND(IF(D1229&gt;0,0,ABS(D1229)),2)</f>
        <v>0</v>
      </c>
      <c r="H1229">
        <f>ROUND(IF(D1229&gt;0,D1229,),2)</f>
        <v>0</v>
      </c>
      <c r="K1229" s="7"/>
      <c r="N1229" s="7"/>
      <c r="P1229" s="8"/>
      <c r="Q1229" s="5"/>
      <c r="R1229" s="5"/>
      <c r="AF1229" s="14"/>
    </row>
    <row r="1230" spans="1:32" customFormat="1" x14ac:dyDescent="0.25">
      <c r="A1230" s="9"/>
      <c r="C1230" s="14"/>
      <c r="E1230" t="str">
        <f>IF(ISNA(VLOOKUP(C1230,P:Q,2,0)),"",VLOOKUP(C1230,P:Q,2,0))</f>
        <v/>
      </c>
      <c r="F1230" s="15" t="str">
        <f>IF(ISNA(VLOOKUP(C1230,P:R,3,0)),"",VLOOKUP(C1230,P:R,3,0))</f>
        <v/>
      </c>
      <c r="G1230">
        <f>ROUND(IF(D1230&gt;0,0,ABS(D1230)),2)</f>
        <v>0</v>
      </c>
      <c r="H1230">
        <f>ROUND(IF(D1230&gt;0,D1230,),2)</f>
        <v>0</v>
      </c>
      <c r="K1230" s="7"/>
      <c r="N1230" s="7"/>
      <c r="P1230" s="8"/>
      <c r="Q1230" s="5"/>
      <c r="R1230" s="5"/>
      <c r="AF1230" s="14"/>
    </row>
    <row r="1231" spans="1:32" customFormat="1" x14ac:dyDescent="0.25">
      <c r="A1231" s="9"/>
      <c r="C1231" s="14"/>
      <c r="E1231" t="str">
        <f>IF(ISNA(VLOOKUP(C1231,P:Q,2,0)),"",VLOOKUP(C1231,P:Q,2,0))</f>
        <v/>
      </c>
      <c r="F1231" s="15" t="str">
        <f>IF(ISNA(VLOOKUP(C1231,P:R,3,0)),"",VLOOKUP(C1231,P:R,3,0))</f>
        <v/>
      </c>
      <c r="G1231">
        <f>ROUND(IF(D1231&gt;0,0,ABS(D1231)),2)</f>
        <v>0</v>
      </c>
      <c r="H1231">
        <f>ROUND(IF(D1231&gt;0,D1231,),2)</f>
        <v>0</v>
      </c>
      <c r="K1231" s="7"/>
      <c r="N1231" s="7"/>
      <c r="P1231" s="8"/>
      <c r="Q1231" s="5"/>
      <c r="R1231" s="5"/>
      <c r="AF1231" s="14"/>
    </row>
    <row r="1232" spans="1:32" customFormat="1" x14ac:dyDescent="0.25">
      <c r="A1232" s="9"/>
      <c r="C1232" s="14"/>
      <c r="E1232" t="str">
        <f>IF(ISNA(VLOOKUP(C1232,P:Q,2,0)),"",VLOOKUP(C1232,P:Q,2,0))</f>
        <v/>
      </c>
      <c r="F1232" s="15" t="str">
        <f>IF(ISNA(VLOOKUP(C1232,P:R,3,0)),"",VLOOKUP(C1232,P:R,3,0))</f>
        <v/>
      </c>
      <c r="G1232">
        <f>ROUND(IF(D1232&gt;0,0,ABS(D1232)),2)</f>
        <v>0</v>
      </c>
      <c r="H1232">
        <f>ROUND(IF(D1232&gt;0,D1232,),2)</f>
        <v>0</v>
      </c>
      <c r="K1232" s="7"/>
      <c r="N1232" s="7"/>
      <c r="P1232" s="8"/>
      <c r="Q1232" s="5"/>
      <c r="R1232" s="5"/>
      <c r="AF1232" s="14"/>
    </row>
    <row r="1233" spans="1:32" customFormat="1" x14ac:dyDescent="0.25">
      <c r="A1233" s="9"/>
      <c r="C1233" s="14"/>
      <c r="E1233" t="str">
        <f>IF(ISNA(VLOOKUP(C1233,P:Q,2,0)),"",VLOOKUP(C1233,P:Q,2,0))</f>
        <v/>
      </c>
      <c r="F1233" s="15" t="str">
        <f>IF(ISNA(VLOOKUP(C1233,P:R,3,0)),"",VLOOKUP(C1233,P:R,3,0))</f>
        <v/>
      </c>
      <c r="G1233">
        <f>ROUND(IF(D1233&gt;0,0,ABS(D1233)),2)</f>
        <v>0</v>
      </c>
      <c r="H1233">
        <f>ROUND(IF(D1233&gt;0,D1233,),2)</f>
        <v>0</v>
      </c>
      <c r="K1233" s="7"/>
      <c r="N1233" s="7"/>
      <c r="P1233" s="8"/>
      <c r="Q1233" s="5"/>
      <c r="R1233" s="5"/>
      <c r="AF1233" s="14"/>
    </row>
    <row r="1234" spans="1:32" customFormat="1" x14ac:dyDescent="0.25">
      <c r="A1234" s="9"/>
      <c r="C1234" s="14"/>
      <c r="E1234" t="str">
        <f>IF(ISNA(VLOOKUP(C1234,P:Q,2,0)),"",VLOOKUP(C1234,P:Q,2,0))</f>
        <v/>
      </c>
      <c r="F1234" s="15" t="str">
        <f>IF(ISNA(VLOOKUP(C1234,P:R,3,0)),"",VLOOKUP(C1234,P:R,3,0))</f>
        <v/>
      </c>
      <c r="G1234">
        <f>ROUND(IF(D1234&gt;0,0,ABS(D1234)),2)</f>
        <v>0</v>
      </c>
      <c r="H1234">
        <f>ROUND(IF(D1234&gt;0,D1234,),2)</f>
        <v>0</v>
      </c>
      <c r="K1234" s="7"/>
      <c r="N1234" s="7"/>
      <c r="P1234" s="8"/>
      <c r="Q1234" s="5"/>
      <c r="R1234" s="5"/>
      <c r="AF1234" s="14"/>
    </row>
    <row r="1235" spans="1:32" customFormat="1" x14ac:dyDescent="0.25">
      <c r="A1235" s="9"/>
      <c r="C1235" s="14"/>
      <c r="E1235" t="str">
        <f>IF(ISNA(VLOOKUP(C1235,P:Q,2,0)),"",VLOOKUP(C1235,P:Q,2,0))</f>
        <v/>
      </c>
      <c r="F1235" s="15" t="str">
        <f>IF(ISNA(VLOOKUP(C1235,P:R,3,0)),"",VLOOKUP(C1235,P:R,3,0))</f>
        <v/>
      </c>
      <c r="G1235">
        <f>ROUND(IF(D1235&gt;0,0,ABS(D1235)),2)</f>
        <v>0</v>
      </c>
      <c r="H1235">
        <f>ROUND(IF(D1235&gt;0,D1235,),2)</f>
        <v>0</v>
      </c>
      <c r="K1235" s="7"/>
      <c r="N1235" s="7"/>
      <c r="P1235" s="8"/>
      <c r="Q1235" s="5"/>
      <c r="R1235" s="5"/>
      <c r="AF1235" s="14"/>
    </row>
    <row r="1236" spans="1:32" customFormat="1" x14ac:dyDescent="0.25">
      <c r="A1236" s="9"/>
      <c r="C1236" s="14"/>
      <c r="E1236" t="str">
        <f>IF(ISNA(VLOOKUP(C1236,P:Q,2,0)),"",VLOOKUP(C1236,P:Q,2,0))</f>
        <v/>
      </c>
      <c r="F1236" s="15" t="str">
        <f>IF(ISNA(VLOOKUP(C1236,P:R,3,0)),"",VLOOKUP(C1236,P:R,3,0))</f>
        <v/>
      </c>
      <c r="G1236">
        <f>ROUND(IF(D1236&gt;0,0,ABS(D1236)),2)</f>
        <v>0</v>
      </c>
      <c r="H1236">
        <f>ROUND(IF(D1236&gt;0,D1236,),2)</f>
        <v>0</v>
      </c>
      <c r="K1236" s="7"/>
      <c r="N1236" s="7"/>
      <c r="P1236" s="8"/>
      <c r="Q1236" s="5"/>
      <c r="R1236" s="5"/>
      <c r="AF1236" s="14"/>
    </row>
    <row r="1237" spans="1:32" customFormat="1" x14ac:dyDescent="0.25">
      <c r="A1237" s="9"/>
      <c r="C1237" s="14"/>
      <c r="E1237" t="str">
        <f>IF(ISNA(VLOOKUP(C1237,P:Q,2,0)),"",VLOOKUP(C1237,P:Q,2,0))</f>
        <v/>
      </c>
      <c r="F1237" s="15" t="str">
        <f>IF(ISNA(VLOOKUP(C1237,P:R,3,0)),"",VLOOKUP(C1237,P:R,3,0))</f>
        <v/>
      </c>
      <c r="G1237">
        <f>ROUND(IF(D1237&gt;0,0,ABS(D1237)),2)</f>
        <v>0</v>
      </c>
      <c r="H1237">
        <f>ROUND(IF(D1237&gt;0,D1237,),2)</f>
        <v>0</v>
      </c>
      <c r="K1237" s="7"/>
      <c r="N1237" s="7"/>
      <c r="P1237" s="8"/>
      <c r="Q1237" s="5"/>
      <c r="R1237" s="5"/>
      <c r="AF1237" s="14"/>
    </row>
    <row r="1238" spans="1:32" customFormat="1" x14ac:dyDescent="0.25">
      <c r="A1238" s="9"/>
      <c r="C1238" s="14"/>
      <c r="E1238" t="str">
        <f>IF(ISNA(VLOOKUP(C1238,P:Q,2,0)),"",VLOOKUP(C1238,P:Q,2,0))</f>
        <v/>
      </c>
      <c r="F1238" s="15" t="str">
        <f>IF(ISNA(VLOOKUP(C1238,P:R,3,0)),"",VLOOKUP(C1238,P:R,3,0))</f>
        <v/>
      </c>
      <c r="G1238">
        <f>ROUND(IF(D1238&gt;0,0,ABS(D1238)),2)</f>
        <v>0</v>
      </c>
      <c r="H1238">
        <f>ROUND(IF(D1238&gt;0,D1238,),2)</f>
        <v>0</v>
      </c>
      <c r="K1238" s="7"/>
      <c r="N1238" s="7"/>
      <c r="P1238" s="8"/>
      <c r="Q1238" s="5"/>
      <c r="R1238" s="5"/>
      <c r="AF1238" s="14"/>
    </row>
    <row r="1239" spans="1:32" customFormat="1" x14ac:dyDescent="0.25">
      <c r="A1239" s="9"/>
      <c r="C1239" s="14"/>
      <c r="E1239" t="str">
        <f>IF(ISNA(VLOOKUP(C1239,P:Q,2,0)),"",VLOOKUP(C1239,P:Q,2,0))</f>
        <v/>
      </c>
      <c r="F1239" s="15" t="str">
        <f>IF(ISNA(VLOOKUP(C1239,P:R,3,0)),"",VLOOKUP(C1239,P:R,3,0))</f>
        <v/>
      </c>
      <c r="G1239">
        <f>ROUND(IF(D1239&gt;0,0,ABS(D1239)),2)</f>
        <v>0</v>
      </c>
      <c r="H1239">
        <f>ROUND(IF(D1239&gt;0,D1239,),2)</f>
        <v>0</v>
      </c>
      <c r="K1239" s="7"/>
      <c r="N1239" s="7"/>
      <c r="P1239" s="8"/>
      <c r="Q1239" s="5"/>
      <c r="R1239" s="5"/>
      <c r="AF1239" s="14"/>
    </row>
    <row r="1240" spans="1:32" customFormat="1" x14ac:dyDescent="0.25">
      <c r="A1240" s="9"/>
      <c r="C1240" s="14"/>
      <c r="E1240" t="str">
        <f>IF(ISNA(VLOOKUP(C1240,P:Q,2,0)),"",VLOOKUP(C1240,P:Q,2,0))</f>
        <v/>
      </c>
      <c r="F1240" s="15" t="str">
        <f>IF(ISNA(VLOOKUP(C1240,P:R,3,0)),"",VLOOKUP(C1240,P:R,3,0))</f>
        <v/>
      </c>
      <c r="G1240">
        <f>ROUND(IF(D1240&gt;0,0,ABS(D1240)),2)</f>
        <v>0</v>
      </c>
      <c r="H1240">
        <f>ROUND(IF(D1240&gt;0,D1240,),2)</f>
        <v>0</v>
      </c>
      <c r="K1240" s="7"/>
      <c r="N1240" s="7"/>
      <c r="P1240" s="8"/>
      <c r="Q1240" s="5"/>
      <c r="R1240" s="5"/>
      <c r="AF1240" s="14"/>
    </row>
    <row r="1241" spans="1:32" customFormat="1" x14ac:dyDescent="0.25">
      <c r="A1241" s="9"/>
      <c r="C1241" s="14"/>
      <c r="E1241" t="str">
        <f>IF(ISNA(VLOOKUP(C1241,P:Q,2,0)),"",VLOOKUP(C1241,P:Q,2,0))</f>
        <v/>
      </c>
      <c r="F1241" s="15" t="str">
        <f>IF(ISNA(VLOOKUP(C1241,P:R,3,0)),"",VLOOKUP(C1241,P:R,3,0))</f>
        <v/>
      </c>
      <c r="G1241">
        <f>ROUND(IF(D1241&gt;0,0,ABS(D1241)),2)</f>
        <v>0</v>
      </c>
      <c r="H1241">
        <f>ROUND(IF(D1241&gt;0,D1241,),2)</f>
        <v>0</v>
      </c>
      <c r="K1241" s="7"/>
      <c r="N1241" s="7"/>
      <c r="P1241" s="8"/>
      <c r="Q1241" s="5"/>
      <c r="R1241" s="5"/>
      <c r="AF1241" s="14"/>
    </row>
    <row r="1242" spans="1:32" customFormat="1" x14ac:dyDescent="0.25">
      <c r="A1242" s="9"/>
      <c r="C1242" s="14"/>
      <c r="E1242" t="str">
        <f>IF(ISNA(VLOOKUP(C1242,P:Q,2,0)),"",VLOOKUP(C1242,P:Q,2,0))</f>
        <v/>
      </c>
      <c r="F1242" s="15" t="str">
        <f>IF(ISNA(VLOOKUP(C1242,P:R,3,0)),"",VLOOKUP(C1242,P:R,3,0))</f>
        <v/>
      </c>
      <c r="G1242">
        <f>ROUND(IF(D1242&gt;0,0,ABS(D1242)),2)</f>
        <v>0</v>
      </c>
      <c r="H1242">
        <f>ROUND(IF(D1242&gt;0,D1242,),2)</f>
        <v>0</v>
      </c>
      <c r="K1242" s="7"/>
      <c r="N1242" s="7"/>
      <c r="P1242" s="8"/>
      <c r="Q1242" s="5"/>
      <c r="R1242" s="5"/>
      <c r="AF1242" s="14"/>
    </row>
    <row r="1243" spans="1:32" customFormat="1" x14ac:dyDescent="0.25">
      <c r="A1243" s="9"/>
      <c r="C1243" s="14"/>
      <c r="E1243" t="str">
        <f>IF(ISNA(VLOOKUP(C1243,P:Q,2,0)),"",VLOOKUP(C1243,P:Q,2,0))</f>
        <v/>
      </c>
      <c r="F1243" s="15" t="str">
        <f>IF(ISNA(VLOOKUP(C1243,P:R,3,0)),"",VLOOKUP(C1243,P:R,3,0))</f>
        <v/>
      </c>
      <c r="G1243">
        <f>ROUND(IF(D1243&gt;0,0,ABS(D1243)),2)</f>
        <v>0</v>
      </c>
      <c r="H1243">
        <f>ROUND(IF(D1243&gt;0,D1243,),2)</f>
        <v>0</v>
      </c>
      <c r="K1243" s="7"/>
      <c r="N1243" s="7"/>
      <c r="P1243" s="8"/>
      <c r="Q1243" s="5"/>
      <c r="R1243" s="5"/>
      <c r="AF1243" s="14"/>
    </row>
    <row r="1244" spans="1:32" customFormat="1" x14ac:dyDescent="0.25">
      <c r="A1244" s="9"/>
      <c r="C1244" s="14"/>
      <c r="E1244" t="str">
        <f>IF(ISNA(VLOOKUP(C1244,P:Q,2,0)),"",VLOOKUP(C1244,P:Q,2,0))</f>
        <v/>
      </c>
      <c r="F1244" s="15" t="str">
        <f>IF(ISNA(VLOOKUP(C1244,P:R,3,0)),"",VLOOKUP(C1244,P:R,3,0))</f>
        <v/>
      </c>
      <c r="G1244">
        <f>ROUND(IF(D1244&gt;0,0,ABS(D1244)),2)</f>
        <v>0</v>
      </c>
      <c r="H1244">
        <f>ROUND(IF(D1244&gt;0,D1244,),2)</f>
        <v>0</v>
      </c>
      <c r="K1244" s="7"/>
      <c r="N1244" s="7"/>
      <c r="P1244" s="8"/>
      <c r="Q1244" s="5"/>
      <c r="R1244" s="5"/>
      <c r="AF1244" s="14"/>
    </row>
    <row r="1245" spans="1:32" customFormat="1" x14ac:dyDescent="0.25">
      <c r="A1245" s="9"/>
      <c r="C1245" s="14"/>
      <c r="E1245" t="str">
        <f>IF(ISNA(VLOOKUP(C1245,P:Q,2,0)),"",VLOOKUP(C1245,P:Q,2,0))</f>
        <v/>
      </c>
      <c r="F1245" s="15" t="str">
        <f>IF(ISNA(VLOOKUP(C1245,P:R,3,0)),"",VLOOKUP(C1245,P:R,3,0))</f>
        <v/>
      </c>
      <c r="G1245">
        <f>ROUND(IF(D1245&gt;0,0,ABS(D1245)),2)</f>
        <v>0</v>
      </c>
      <c r="H1245">
        <f>ROUND(IF(D1245&gt;0,D1245,),2)</f>
        <v>0</v>
      </c>
      <c r="K1245" s="7"/>
      <c r="N1245" s="7"/>
      <c r="P1245" s="8"/>
      <c r="Q1245" s="5"/>
      <c r="R1245" s="5"/>
      <c r="AF1245" s="14"/>
    </row>
    <row r="1246" spans="1:32" customFormat="1" x14ac:dyDescent="0.25">
      <c r="A1246" s="9"/>
      <c r="C1246" s="14"/>
      <c r="E1246" t="str">
        <f>IF(ISNA(VLOOKUP(C1246,P:Q,2,0)),"",VLOOKUP(C1246,P:Q,2,0))</f>
        <v/>
      </c>
      <c r="F1246" s="15" t="str">
        <f>IF(ISNA(VLOOKUP(C1246,P:R,3,0)),"",VLOOKUP(C1246,P:R,3,0))</f>
        <v/>
      </c>
      <c r="G1246">
        <f>ROUND(IF(D1246&gt;0,0,ABS(D1246)),2)</f>
        <v>0</v>
      </c>
      <c r="H1246">
        <f>ROUND(IF(D1246&gt;0,D1246,),2)</f>
        <v>0</v>
      </c>
      <c r="K1246" s="7"/>
      <c r="N1246" s="7"/>
      <c r="P1246" s="8"/>
      <c r="Q1246" s="5"/>
      <c r="R1246" s="5"/>
      <c r="AF1246" s="14"/>
    </row>
    <row r="1247" spans="1:32" customFormat="1" x14ac:dyDescent="0.25">
      <c r="A1247" s="9"/>
      <c r="C1247" s="14"/>
      <c r="E1247" t="str">
        <f>IF(ISNA(VLOOKUP(C1247,P:Q,2,0)),"",VLOOKUP(C1247,P:Q,2,0))</f>
        <v/>
      </c>
      <c r="F1247" s="15" t="str">
        <f>IF(ISNA(VLOOKUP(C1247,P:R,3,0)),"",VLOOKUP(C1247,P:R,3,0))</f>
        <v/>
      </c>
      <c r="G1247">
        <f>ROUND(IF(D1247&gt;0,0,ABS(D1247)),2)</f>
        <v>0</v>
      </c>
      <c r="H1247">
        <f>ROUND(IF(D1247&gt;0,D1247,),2)</f>
        <v>0</v>
      </c>
      <c r="K1247" s="7"/>
      <c r="N1247" s="7"/>
      <c r="P1247" s="8"/>
      <c r="Q1247" s="5"/>
      <c r="R1247" s="5"/>
      <c r="AF1247" s="14"/>
    </row>
    <row r="1248" spans="1:32" customFormat="1" x14ac:dyDescent="0.25">
      <c r="A1248" s="9"/>
      <c r="C1248" s="14"/>
      <c r="E1248" t="str">
        <f>IF(ISNA(VLOOKUP(C1248,P:Q,2,0)),"",VLOOKUP(C1248,P:Q,2,0))</f>
        <v/>
      </c>
      <c r="F1248" s="15" t="str">
        <f>IF(ISNA(VLOOKUP(C1248,P:R,3,0)),"",VLOOKUP(C1248,P:R,3,0))</f>
        <v/>
      </c>
      <c r="G1248">
        <f>ROUND(IF(D1248&gt;0,0,ABS(D1248)),2)</f>
        <v>0</v>
      </c>
      <c r="H1248">
        <f>ROUND(IF(D1248&gt;0,D1248,),2)</f>
        <v>0</v>
      </c>
      <c r="K1248" s="7"/>
      <c r="N1248" s="7"/>
      <c r="P1248" s="8"/>
      <c r="Q1248" s="5"/>
      <c r="R1248" s="5"/>
      <c r="AF1248" s="14"/>
    </row>
    <row r="1249" spans="1:32" customFormat="1" x14ac:dyDescent="0.25">
      <c r="A1249" s="9"/>
      <c r="C1249" s="14"/>
      <c r="E1249" t="str">
        <f>IF(ISNA(VLOOKUP(C1249,P:Q,2,0)),"",VLOOKUP(C1249,P:Q,2,0))</f>
        <v/>
      </c>
      <c r="F1249" s="15" t="str">
        <f>IF(ISNA(VLOOKUP(C1249,P:R,3,0)),"",VLOOKUP(C1249,P:R,3,0))</f>
        <v/>
      </c>
      <c r="G1249">
        <f>ROUND(IF(D1249&gt;0,0,ABS(D1249)),2)</f>
        <v>0</v>
      </c>
      <c r="H1249">
        <f>ROUND(IF(D1249&gt;0,D1249,),2)</f>
        <v>0</v>
      </c>
      <c r="K1249" s="7"/>
      <c r="N1249" s="7"/>
      <c r="P1249" s="8"/>
      <c r="Q1249" s="5"/>
      <c r="R1249" s="5"/>
      <c r="AF1249" s="14"/>
    </row>
    <row r="1250" spans="1:32" customFormat="1" x14ac:dyDescent="0.25">
      <c r="A1250" s="9"/>
      <c r="C1250" s="14"/>
      <c r="E1250" t="str">
        <f>IF(ISNA(VLOOKUP(C1250,P:Q,2,0)),"",VLOOKUP(C1250,P:Q,2,0))</f>
        <v/>
      </c>
      <c r="F1250" s="15" t="str">
        <f>IF(ISNA(VLOOKUP(C1250,P:R,3,0)),"",VLOOKUP(C1250,P:R,3,0))</f>
        <v/>
      </c>
      <c r="G1250">
        <f>ROUND(IF(D1250&gt;0,0,ABS(D1250)),2)</f>
        <v>0</v>
      </c>
      <c r="H1250">
        <f>ROUND(IF(D1250&gt;0,D1250,),2)</f>
        <v>0</v>
      </c>
      <c r="K1250" s="7"/>
      <c r="N1250" s="7"/>
      <c r="P1250" s="8"/>
      <c r="Q1250" s="5"/>
      <c r="R1250" s="5"/>
      <c r="AF1250" s="14"/>
    </row>
    <row r="1251" spans="1:32" customFormat="1" x14ac:dyDescent="0.25">
      <c r="A1251" s="9"/>
      <c r="C1251" s="14"/>
      <c r="E1251" t="str">
        <f>IF(ISNA(VLOOKUP(C1251,P:Q,2,0)),"",VLOOKUP(C1251,P:Q,2,0))</f>
        <v/>
      </c>
      <c r="F1251" s="15" t="str">
        <f>IF(ISNA(VLOOKUP(C1251,P:R,3,0)),"",VLOOKUP(C1251,P:R,3,0))</f>
        <v/>
      </c>
      <c r="G1251">
        <f>ROUND(IF(D1251&gt;0,0,ABS(D1251)),2)</f>
        <v>0</v>
      </c>
      <c r="H1251">
        <f>ROUND(IF(D1251&gt;0,D1251,),2)</f>
        <v>0</v>
      </c>
      <c r="K1251" s="7"/>
      <c r="N1251" s="7"/>
      <c r="P1251" s="8"/>
      <c r="Q1251" s="5"/>
      <c r="R1251" s="5"/>
      <c r="AF1251" s="14"/>
    </row>
    <row r="1252" spans="1:32" customFormat="1" x14ac:dyDescent="0.25">
      <c r="A1252" s="9"/>
      <c r="C1252" s="14"/>
      <c r="E1252" t="str">
        <f>IF(ISNA(VLOOKUP(C1252,P:Q,2,0)),"",VLOOKUP(C1252,P:Q,2,0))</f>
        <v/>
      </c>
      <c r="F1252" s="15" t="str">
        <f>IF(ISNA(VLOOKUP(C1252,P:R,3,0)),"",VLOOKUP(C1252,P:R,3,0))</f>
        <v/>
      </c>
      <c r="G1252">
        <f>ROUND(IF(D1252&gt;0,0,ABS(D1252)),2)</f>
        <v>0</v>
      </c>
      <c r="H1252">
        <f>ROUND(IF(D1252&gt;0,D1252,),2)</f>
        <v>0</v>
      </c>
      <c r="K1252" s="7"/>
      <c r="N1252" s="7"/>
      <c r="P1252" s="8"/>
      <c r="Q1252" s="5"/>
      <c r="R1252" s="5"/>
      <c r="AF1252" s="14"/>
    </row>
    <row r="1253" spans="1:32" customFormat="1" x14ac:dyDescent="0.25">
      <c r="A1253" s="9"/>
      <c r="C1253" s="14"/>
      <c r="E1253" t="str">
        <f>IF(ISNA(VLOOKUP(C1253,P:Q,2,0)),"",VLOOKUP(C1253,P:Q,2,0))</f>
        <v/>
      </c>
      <c r="F1253" s="15" t="str">
        <f>IF(ISNA(VLOOKUP(C1253,P:R,3,0)),"",VLOOKUP(C1253,P:R,3,0))</f>
        <v/>
      </c>
      <c r="G1253">
        <f>ROUND(IF(D1253&gt;0,0,ABS(D1253)),2)</f>
        <v>0</v>
      </c>
      <c r="H1253">
        <f>ROUND(IF(D1253&gt;0,D1253,),2)</f>
        <v>0</v>
      </c>
      <c r="K1253" s="7"/>
      <c r="N1253" s="7"/>
      <c r="P1253" s="8"/>
      <c r="Q1253" s="5"/>
      <c r="R1253" s="5"/>
      <c r="AF1253" s="14"/>
    </row>
    <row r="1254" spans="1:32" customFormat="1" x14ac:dyDescent="0.25">
      <c r="A1254" s="9"/>
      <c r="C1254" s="14"/>
      <c r="E1254" t="str">
        <f>IF(ISNA(VLOOKUP(C1254,P:Q,2,0)),"",VLOOKUP(C1254,P:Q,2,0))</f>
        <v/>
      </c>
      <c r="F1254" s="15" t="str">
        <f>IF(ISNA(VLOOKUP(C1254,P:R,3,0)),"",VLOOKUP(C1254,P:R,3,0))</f>
        <v/>
      </c>
      <c r="G1254">
        <f>ROUND(IF(D1254&gt;0,0,ABS(D1254)),2)</f>
        <v>0</v>
      </c>
      <c r="H1254">
        <f>ROUND(IF(D1254&gt;0,D1254,),2)</f>
        <v>0</v>
      </c>
      <c r="K1254" s="7"/>
      <c r="N1254" s="7"/>
      <c r="P1254" s="8"/>
      <c r="Q1254" s="5"/>
      <c r="R1254" s="5"/>
      <c r="AF1254" s="14"/>
    </row>
    <row r="1255" spans="1:32" customFormat="1" x14ac:dyDescent="0.25">
      <c r="A1255" s="9"/>
      <c r="C1255" s="14"/>
      <c r="E1255" t="str">
        <f>IF(ISNA(VLOOKUP(C1255,P:Q,2,0)),"",VLOOKUP(C1255,P:Q,2,0))</f>
        <v/>
      </c>
      <c r="F1255" s="15" t="str">
        <f>IF(ISNA(VLOOKUP(C1255,P:R,3,0)),"",VLOOKUP(C1255,P:R,3,0))</f>
        <v/>
      </c>
      <c r="G1255">
        <f>ROUND(IF(D1255&gt;0,0,ABS(D1255)),2)</f>
        <v>0</v>
      </c>
      <c r="H1255">
        <f>ROUND(IF(D1255&gt;0,D1255,),2)</f>
        <v>0</v>
      </c>
      <c r="K1255" s="7"/>
      <c r="N1255" s="7"/>
      <c r="P1255" s="8"/>
      <c r="Q1255" s="5"/>
      <c r="R1255" s="5"/>
      <c r="AF1255" s="14"/>
    </row>
    <row r="1256" spans="1:32" customFormat="1" x14ac:dyDescent="0.25">
      <c r="A1256" s="9"/>
      <c r="C1256" s="14"/>
      <c r="E1256" t="str">
        <f>IF(ISNA(VLOOKUP(C1256,P:Q,2,0)),"",VLOOKUP(C1256,P:Q,2,0))</f>
        <v/>
      </c>
      <c r="F1256" s="15" t="str">
        <f>IF(ISNA(VLOOKUP(C1256,P:R,3,0)),"",VLOOKUP(C1256,P:R,3,0))</f>
        <v/>
      </c>
      <c r="G1256">
        <f>ROUND(IF(D1256&gt;0,0,ABS(D1256)),2)</f>
        <v>0</v>
      </c>
      <c r="H1256">
        <f>ROUND(IF(D1256&gt;0,D1256,),2)</f>
        <v>0</v>
      </c>
      <c r="K1256" s="7"/>
      <c r="N1256" s="7"/>
      <c r="P1256" s="8"/>
      <c r="Q1256" s="5"/>
      <c r="R1256" s="5"/>
      <c r="AF1256" s="14"/>
    </row>
    <row r="1257" spans="1:32" customFormat="1" x14ac:dyDescent="0.25">
      <c r="A1257" s="9"/>
      <c r="C1257" s="14"/>
      <c r="E1257" t="str">
        <f>IF(ISNA(VLOOKUP(C1257,P:Q,2,0)),"",VLOOKUP(C1257,P:Q,2,0))</f>
        <v/>
      </c>
      <c r="F1257" s="15" t="str">
        <f>IF(ISNA(VLOOKUP(C1257,P:R,3,0)),"",VLOOKUP(C1257,P:R,3,0))</f>
        <v/>
      </c>
      <c r="G1257">
        <f>ROUND(IF(D1257&gt;0,0,ABS(D1257)),2)</f>
        <v>0</v>
      </c>
      <c r="H1257">
        <f>ROUND(IF(D1257&gt;0,D1257,),2)</f>
        <v>0</v>
      </c>
      <c r="K1257" s="7"/>
      <c r="N1257" s="7"/>
      <c r="P1257" s="8"/>
      <c r="Q1257" s="5"/>
      <c r="R1257" s="5"/>
      <c r="AF1257" s="14"/>
    </row>
    <row r="1258" spans="1:32" customFormat="1" x14ac:dyDescent="0.25">
      <c r="A1258" s="9"/>
      <c r="C1258" s="14"/>
      <c r="E1258" t="str">
        <f>IF(ISNA(VLOOKUP(C1258,P:Q,2,0)),"",VLOOKUP(C1258,P:Q,2,0))</f>
        <v/>
      </c>
      <c r="F1258" s="15" t="str">
        <f>IF(ISNA(VLOOKUP(C1258,P:R,3,0)),"",VLOOKUP(C1258,P:R,3,0))</f>
        <v/>
      </c>
      <c r="G1258">
        <f>ROUND(IF(D1258&gt;0,0,ABS(D1258)),2)</f>
        <v>0</v>
      </c>
      <c r="H1258">
        <f>ROUND(IF(D1258&gt;0,D1258,),2)</f>
        <v>0</v>
      </c>
      <c r="K1258" s="7"/>
      <c r="N1258" s="7"/>
      <c r="P1258" s="8"/>
      <c r="Q1258" s="5"/>
      <c r="R1258" s="5"/>
      <c r="AF1258" s="14"/>
    </row>
    <row r="1259" spans="1:32" customFormat="1" x14ac:dyDescent="0.25">
      <c r="A1259" s="9"/>
      <c r="C1259" s="14"/>
      <c r="E1259" t="str">
        <f>IF(ISNA(VLOOKUP(C1259,P:Q,2,0)),"",VLOOKUP(C1259,P:Q,2,0))</f>
        <v/>
      </c>
      <c r="F1259" s="15" t="str">
        <f>IF(ISNA(VLOOKUP(C1259,P:R,3,0)),"",VLOOKUP(C1259,P:R,3,0))</f>
        <v/>
      </c>
      <c r="G1259">
        <f>ROUND(IF(D1259&gt;0,0,ABS(D1259)),2)</f>
        <v>0</v>
      </c>
      <c r="H1259">
        <f>ROUND(IF(D1259&gt;0,D1259,),2)</f>
        <v>0</v>
      </c>
      <c r="K1259" s="7"/>
      <c r="N1259" s="7"/>
      <c r="P1259" s="8"/>
      <c r="Q1259" s="5"/>
      <c r="R1259" s="5"/>
      <c r="AF1259" s="14"/>
    </row>
    <row r="1260" spans="1:32" customFormat="1" x14ac:dyDescent="0.25">
      <c r="A1260" s="9"/>
      <c r="C1260" s="14"/>
      <c r="E1260" t="str">
        <f>IF(ISNA(VLOOKUP(C1260,P:Q,2,0)),"",VLOOKUP(C1260,P:Q,2,0))</f>
        <v/>
      </c>
      <c r="F1260" s="15" t="str">
        <f>IF(ISNA(VLOOKUP(C1260,P:R,3,0)),"",VLOOKUP(C1260,P:R,3,0))</f>
        <v/>
      </c>
      <c r="G1260">
        <f>ROUND(IF(D1260&gt;0,0,ABS(D1260)),2)</f>
        <v>0</v>
      </c>
      <c r="H1260">
        <f>ROUND(IF(D1260&gt;0,D1260,),2)</f>
        <v>0</v>
      </c>
      <c r="K1260" s="7"/>
      <c r="N1260" s="7"/>
      <c r="P1260" s="8"/>
      <c r="Q1260" s="5"/>
      <c r="R1260" s="5"/>
      <c r="AF1260" s="14"/>
    </row>
    <row r="1261" spans="1:32" customFormat="1" x14ac:dyDescent="0.25">
      <c r="A1261" s="9"/>
      <c r="C1261" s="14"/>
      <c r="E1261" t="str">
        <f>IF(ISNA(VLOOKUP(C1261,P:Q,2,0)),"",VLOOKUP(C1261,P:Q,2,0))</f>
        <v/>
      </c>
      <c r="F1261" s="15" t="str">
        <f>IF(ISNA(VLOOKUP(C1261,P:R,3,0)),"",VLOOKUP(C1261,P:R,3,0))</f>
        <v/>
      </c>
      <c r="G1261">
        <f>ROUND(IF(D1261&gt;0,0,ABS(D1261)),2)</f>
        <v>0</v>
      </c>
      <c r="H1261">
        <f>ROUND(IF(D1261&gt;0,D1261,),2)</f>
        <v>0</v>
      </c>
      <c r="K1261" s="7"/>
      <c r="N1261" s="7"/>
      <c r="P1261" s="8"/>
      <c r="Q1261" s="5"/>
      <c r="R1261" s="5"/>
      <c r="AF1261" s="14"/>
    </row>
    <row r="1262" spans="1:32" customFormat="1" x14ac:dyDescent="0.25">
      <c r="A1262" s="9"/>
      <c r="C1262" s="14"/>
      <c r="E1262" t="str">
        <f>IF(ISNA(VLOOKUP(C1262,P:Q,2,0)),"",VLOOKUP(C1262,P:Q,2,0))</f>
        <v/>
      </c>
      <c r="F1262" s="15" t="str">
        <f>IF(ISNA(VLOOKUP(C1262,P:R,3,0)),"",VLOOKUP(C1262,P:R,3,0))</f>
        <v/>
      </c>
      <c r="G1262">
        <f>ROUND(IF(D1262&gt;0,0,ABS(D1262)),2)</f>
        <v>0</v>
      </c>
      <c r="H1262">
        <f>ROUND(IF(D1262&gt;0,D1262,),2)</f>
        <v>0</v>
      </c>
      <c r="K1262" s="7"/>
      <c r="N1262" s="7"/>
      <c r="P1262" s="8"/>
      <c r="Q1262" s="5"/>
      <c r="R1262" s="5"/>
      <c r="AF1262" s="14"/>
    </row>
    <row r="1263" spans="1:32" customFormat="1" x14ac:dyDescent="0.25">
      <c r="A1263" s="9"/>
      <c r="C1263" s="14"/>
      <c r="E1263" t="str">
        <f>IF(ISNA(VLOOKUP(C1263,P:Q,2,0)),"",VLOOKUP(C1263,P:Q,2,0))</f>
        <v/>
      </c>
      <c r="F1263" s="15" t="str">
        <f>IF(ISNA(VLOOKUP(C1263,P:R,3,0)),"",VLOOKUP(C1263,P:R,3,0))</f>
        <v/>
      </c>
      <c r="G1263">
        <f>ROUND(IF(D1263&gt;0,0,ABS(D1263)),2)</f>
        <v>0</v>
      </c>
      <c r="H1263">
        <f>ROUND(IF(D1263&gt;0,D1263,),2)</f>
        <v>0</v>
      </c>
      <c r="K1263" s="7"/>
      <c r="N1263" s="7"/>
      <c r="P1263" s="8"/>
      <c r="Q1263" s="5"/>
      <c r="R1263" s="5"/>
      <c r="AF1263" s="14"/>
    </row>
    <row r="1264" spans="1:32" customFormat="1" x14ac:dyDescent="0.25">
      <c r="A1264" s="9"/>
      <c r="C1264" s="14"/>
      <c r="E1264" t="str">
        <f>IF(ISNA(VLOOKUP(C1264,P:Q,2,0)),"",VLOOKUP(C1264,P:Q,2,0))</f>
        <v/>
      </c>
      <c r="F1264" s="15" t="str">
        <f>IF(ISNA(VLOOKUP(C1264,P:R,3,0)),"",VLOOKUP(C1264,P:R,3,0))</f>
        <v/>
      </c>
      <c r="G1264">
        <f>ROUND(IF(D1264&gt;0,0,ABS(D1264)),2)</f>
        <v>0</v>
      </c>
      <c r="H1264">
        <f>ROUND(IF(D1264&gt;0,D1264,),2)</f>
        <v>0</v>
      </c>
      <c r="K1264" s="7"/>
      <c r="N1264" s="7"/>
      <c r="P1264" s="8"/>
      <c r="Q1264" s="5"/>
      <c r="R1264" s="5"/>
      <c r="AF1264" s="14"/>
    </row>
    <row r="1265" spans="1:32" customFormat="1" x14ac:dyDescent="0.25">
      <c r="A1265" s="9"/>
      <c r="C1265" s="14"/>
      <c r="E1265" t="str">
        <f>IF(ISNA(VLOOKUP(C1265,P:Q,2,0)),"",VLOOKUP(C1265,P:Q,2,0))</f>
        <v/>
      </c>
      <c r="F1265" s="15" t="str">
        <f>IF(ISNA(VLOOKUP(C1265,P:R,3,0)),"",VLOOKUP(C1265,P:R,3,0))</f>
        <v/>
      </c>
      <c r="G1265">
        <f>ROUND(IF(D1265&gt;0,0,ABS(D1265)),2)</f>
        <v>0</v>
      </c>
      <c r="H1265">
        <f>ROUND(IF(D1265&gt;0,D1265,),2)</f>
        <v>0</v>
      </c>
      <c r="K1265" s="7"/>
      <c r="N1265" s="7"/>
      <c r="P1265" s="8"/>
      <c r="Q1265" s="5"/>
      <c r="R1265" s="5"/>
      <c r="AF1265" s="14"/>
    </row>
    <row r="1266" spans="1:32" customFormat="1" x14ac:dyDescent="0.25">
      <c r="A1266" s="9"/>
      <c r="C1266" s="14"/>
      <c r="E1266" t="str">
        <f>IF(ISNA(VLOOKUP(C1266,P:Q,2,0)),"",VLOOKUP(C1266,P:Q,2,0))</f>
        <v/>
      </c>
      <c r="F1266" s="15" t="str">
        <f>IF(ISNA(VLOOKUP(C1266,P:R,3,0)),"",VLOOKUP(C1266,P:R,3,0))</f>
        <v/>
      </c>
      <c r="G1266">
        <f>ROUND(IF(D1266&gt;0,0,ABS(D1266)),2)</f>
        <v>0</v>
      </c>
      <c r="H1266">
        <f>ROUND(IF(D1266&gt;0,D1266,),2)</f>
        <v>0</v>
      </c>
      <c r="K1266" s="7"/>
      <c r="N1266" s="7"/>
      <c r="P1266" s="8"/>
      <c r="Q1266" s="5"/>
      <c r="R1266" s="5"/>
      <c r="AF1266" s="14"/>
    </row>
    <row r="1267" spans="1:32" customFormat="1" x14ac:dyDescent="0.25">
      <c r="A1267" s="9"/>
      <c r="C1267" s="14"/>
      <c r="E1267" t="str">
        <f>IF(ISNA(VLOOKUP(C1267,P:Q,2,0)),"",VLOOKUP(C1267,P:Q,2,0))</f>
        <v/>
      </c>
      <c r="F1267" s="15" t="str">
        <f>IF(ISNA(VLOOKUP(C1267,P:R,3,0)),"",VLOOKUP(C1267,P:R,3,0))</f>
        <v/>
      </c>
      <c r="G1267">
        <f>ROUND(IF(D1267&gt;0,0,ABS(D1267)),2)</f>
        <v>0</v>
      </c>
      <c r="H1267">
        <f>ROUND(IF(D1267&gt;0,D1267,),2)</f>
        <v>0</v>
      </c>
      <c r="K1267" s="7"/>
      <c r="N1267" s="7"/>
      <c r="P1267" s="8"/>
      <c r="Q1267" s="5"/>
      <c r="R1267" s="5"/>
      <c r="AF1267" s="14"/>
    </row>
    <row r="1268" spans="1:32" customFormat="1" x14ac:dyDescent="0.25">
      <c r="A1268" s="9"/>
      <c r="C1268" s="14"/>
      <c r="E1268" t="str">
        <f>IF(ISNA(VLOOKUP(C1268,P:Q,2,0)),"",VLOOKUP(C1268,P:Q,2,0))</f>
        <v/>
      </c>
      <c r="F1268" s="15" t="str">
        <f>IF(ISNA(VLOOKUP(C1268,P:R,3,0)),"",VLOOKUP(C1268,P:R,3,0))</f>
        <v/>
      </c>
      <c r="G1268">
        <f>ROUND(IF(D1268&gt;0,0,ABS(D1268)),2)</f>
        <v>0</v>
      </c>
      <c r="H1268">
        <f>ROUND(IF(D1268&gt;0,D1268,),2)</f>
        <v>0</v>
      </c>
      <c r="K1268" s="7"/>
      <c r="N1268" s="7"/>
      <c r="P1268" s="8"/>
      <c r="Q1268" s="5"/>
      <c r="R1268" s="5"/>
      <c r="AF1268" s="14"/>
    </row>
    <row r="1269" spans="1:32" customFormat="1" x14ac:dyDescent="0.25">
      <c r="A1269" s="9"/>
      <c r="C1269" s="14"/>
      <c r="E1269" t="str">
        <f>IF(ISNA(VLOOKUP(C1269,P:Q,2,0)),"",VLOOKUP(C1269,P:Q,2,0))</f>
        <v/>
      </c>
      <c r="F1269" s="15" t="str">
        <f>IF(ISNA(VLOOKUP(C1269,P:R,3,0)),"",VLOOKUP(C1269,P:R,3,0))</f>
        <v/>
      </c>
      <c r="G1269">
        <f>ROUND(IF(D1269&gt;0,0,ABS(D1269)),2)</f>
        <v>0</v>
      </c>
      <c r="H1269">
        <f>ROUND(IF(D1269&gt;0,D1269,),2)</f>
        <v>0</v>
      </c>
      <c r="K1269" s="7"/>
      <c r="N1269" s="7"/>
      <c r="P1269" s="8"/>
      <c r="Q1269" s="5"/>
      <c r="R1269" s="5"/>
      <c r="AF1269" s="14"/>
    </row>
    <row r="1270" spans="1:32" customFormat="1" x14ac:dyDescent="0.25">
      <c r="A1270" s="9"/>
      <c r="C1270" s="14"/>
      <c r="E1270" t="str">
        <f>IF(ISNA(VLOOKUP(C1270,P:Q,2,0)),"",VLOOKUP(C1270,P:Q,2,0))</f>
        <v/>
      </c>
      <c r="F1270" s="15" t="str">
        <f>IF(ISNA(VLOOKUP(C1270,P:R,3,0)),"",VLOOKUP(C1270,P:R,3,0))</f>
        <v/>
      </c>
      <c r="G1270">
        <f>ROUND(IF(D1270&gt;0,0,ABS(D1270)),2)</f>
        <v>0</v>
      </c>
      <c r="H1270">
        <f>ROUND(IF(D1270&gt;0,D1270,),2)</f>
        <v>0</v>
      </c>
      <c r="K1270" s="7"/>
      <c r="N1270" s="7"/>
      <c r="P1270" s="8"/>
      <c r="Q1270" s="5"/>
      <c r="R1270" s="5"/>
      <c r="AF1270" s="14"/>
    </row>
    <row r="1271" spans="1:32" customFormat="1" x14ac:dyDescent="0.25">
      <c r="A1271" s="9"/>
      <c r="C1271" s="14"/>
      <c r="E1271" t="str">
        <f>IF(ISNA(VLOOKUP(C1271,P:Q,2,0)),"",VLOOKUP(C1271,P:Q,2,0))</f>
        <v/>
      </c>
      <c r="F1271" s="15" t="str">
        <f>IF(ISNA(VLOOKUP(C1271,P:R,3,0)),"",VLOOKUP(C1271,P:R,3,0))</f>
        <v/>
      </c>
      <c r="G1271">
        <f>ROUND(IF(D1271&gt;0,0,ABS(D1271)),2)</f>
        <v>0</v>
      </c>
      <c r="H1271">
        <f>ROUND(IF(D1271&gt;0,D1271,),2)</f>
        <v>0</v>
      </c>
      <c r="K1271" s="7"/>
      <c r="N1271" s="7"/>
      <c r="P1271" s="8"/>
      <c r="Q1271" s="5"/>
      <c r="R1271" s="5"/>
      <c r="AF1271" s="14"/>
    </row>
    <row r="1272" spans="1:32" customFormat="1" x14ac:dyDescent="0.25">
      <c r="A1272" s="9"/>
      <c r="C1272" s="14"/>
      <c r="E1272" t="str">
        <f>IF(ISNA(VLOOKUP(C1272,P:Q,2,0)),"",VLOOKUP(C1272,P:Q,2,0))</f>
        <v/>
      </c>
      <c r="F1272" s="15" t="str">
        <f>IF(ISNA(VLOOKUP(C1272,P:R,3,0)),"",VLOOKUP(C1272,P:R,3,0))</f>
        <v/>
      </c>
      <c r="G1272">
        <f>ROUND(IF(D1272&gt;0,0,ABS(D1272)),2)</f>
        <v>0</v>
      </c>
      <c r="H1272">
        <f>ROUND(IF(D1272&gt;0,D1272,),2)</f>
        <v>0</v>
      </c>
      <c r="K1272" s="7"/>
      <c r="N1272" s="7"/>
      <c r="P1272" s="8"/>
      <c r="Q1272" s="5"/>
      <c r="R1272" s="5"/>
      <c r="AF1272" s="14"/>
    </row>
    <row r="1273" spans="1:32" customFormat="1" x14ac:dyDescent="0.25">
      <c r="A1273" s="9"/>
      <c r="C1273" s="14"/>
      <c r="E1273" t="str">
        <f>IF(ISNA(VLOOKUP(C1273,P:Q,2,0)),"",VLOOKUP(C1273,P:Q,2,0))</f>
        <v/>
      </c>
      <c r="F1273" s="15" t="str">
        <f>IF(ISNA(VLOOKUP(C1273,P:R,3,0)),"",VLOOKUP(C1273,P:R,3,0))</f>
        <v/>
      </c>
      <c r="G1273">
        <f>ROUND(IF(D1273&gt;0,0,ABS(D1273)),2)</f>
        <v>0</v>
      </c>
      <c r="H1273">
        <f>ROUND(IF(D1273&gt;0,D1273,),2)</f>
        <v>0</v>
      </c>
      <c r="K1273" s="7"/>
      <c r="N1273" s="7"/>
      <c r="P1273" s="8"/>
      <c r="Q1273" s="5"/>
      <c r="R1273" s="5"/>
      <c r="AF1273" s="14"/>
    </row>
    <row r="1274" spans="1:32" customFormat="1" x14ac:dyDescent="0.25">
      <c r="A1274" s="9"/>
      <c r="C1274" s="14"/>
      <c r="E1274" t="str">
        <f>IF(ISNA(VLOOKUP(C1274,P:Q,2,0)),"",VLOOKUP(C1274,P:Q,2,0))</f>
        <v/>
      </c>
      <c r="F1274" s="15" t="str">
        <f>IF(ISNA(VLOOKUP(C1274,P:R,3,0)),"",VLOOKUP(C1274,P:R,3,0))</f>
        <v/>
      </c>
      <c r="G1274">
        <f>ROUND(IF(D1274&gt;0,0,ABS(D1274)),2)</f>
        <v>0</v>
      </c>
      <c r="H1274">
        <f>ROUND(IF(D1274&gt;0,D1274,),2)</f>
        <v>0</v>
      </c>
      <c r="K1274" s="7"/>
      <c r="N1274" s="7"/>
      <c r="P1274" s="8"/>
      <c r="Q1274" s="5"/>
      <c r="R1274" s="5"/>
      <c r="AF1274" s="14"/>
    </row>
    <row r="1275" spans="1:32" customFormat="1" x14ac:dyDescent="0.25">
      <c r="A1275" s="9"/>
      <c r="C1275" s="14"/>
      <c r="E1275" t="str">
        <f>IF(ISNA(VLOOKUP(C1275,P:Q,2,0)),"",VLOOKUP(C1275,P:Q,2,0))</f>
        <v/>
      </c>
      <c r="F1275" s="15" t="str">
        <f>IF(ISNA(VLOOKUP(C1275,P:R,3,0)),"",VLOOKUP(C1275,P:R,3,0))</f>
        <v/>
      </c>
      <c r="G1275">
        <f>ROUND(IF(D1275&gt;0,0,ABS(D1275)),2)</f>
        <v>0</v>
      </c>
      <c r="H1275">
        <f>ROUND(IF(D1275&gt;0,D1275,),2)</f>
        <v>0</v>
      </c>
      <c r="K1275" s="7"/>
      <c r="N1275" s="7"/>
      <c r="P1275" s="8"/>
      <c r="Q1275" s="5"/>
      <c r="R1275" s="5"/>
      <c r="AF1275" s="14"/>
    </row>
    <row r="1276" spans="1:32" customFormat="1" x14ac:dyDescent="0.25">
      <c r="A1276" s="9"/>
      <c r="C1276" s="14"/>
      <c r="E1276" t="str">
        <f>IF(ISNA(VLOOKUP(C1276,P:Q,2,0)),"",VLOOKUP(C1276,P:Q,2,0))</f>
        <v/>
      </c>
      <c r="F1276" s="15" t="str">
        <f>IF(ISNA(VLOOKUP(C1276,P:R,3,0)),"",VLOOKUP(C1276,P:R,3,0))</f>
        <v/>
      </c>
      <c r="G1276">
        <f>ROUND(IF(D1276&gt;0,0,ABS(D1276)),2)</f>
        <v>0</v>
      </c>
      <c r="H1276">
        <f>ROUND(IF(D1276&gt;0,D1276,),2)</f>
        <v>0</v>
      </c>
      <c r="K1276" s="7"/>
      <c r="N1276" s="7"/>
      <c r="P1276" s="8"/>
      <c r="Q1276" s="5"/>
      <c r="R1276" s="5"/>
      <c r="AF1276" s="14"/>
    </row>
    <row r="1277" spans="1:32" customFormat="1" x14ac:dyDescent="0.25">
      <c r="A1277" s="9"/>
      <c r="C1277" s="14"/>
      <c r="E1277" t="str">
        <f>IF(ISNA(VLOOKUP(C1277,P:Q,2,0)),"",VLOOKUP(C1277,P:Q,2,0))</f>
        <v/>
      </c>
      <c r="F1277" s="15" t="str">
        <f>IF(ISNA(VLOOKUP(C1277,P:R,3,0)),"",VLOOKUP(C1277,P:R,3,0))</f>
        <v/>
      </c>
      <c r="G1277">
        <f>ROUND(IF(D1277&gt;0,0,ABS(D1277)),2)</f>
        <v>0</v>
      </c>
      <c r="H1277">
        <f>ROUND(IF(D1277&gt;0,D1277,),2)</f>
        <v>0</v>
      </c>
      <c r="K1277" s="7"/>
      <c r="N1277" s="7"/>
      <c r="P1277" s="8"/>
      <c r="Q1277" s="5"/>
      <c r="R1277" s="5"/>
      <c r="AF1277" s="14"/>
    </row>
    <row r="1278" spans="1:32" customFormat="1" x14ac:dyDescent="0.25">
      <c r="A1278" s="9"/>
      <c r="C1278" s="14"/>
      <c r="E1278" t="str">
        <f>IF(ISNA(VLOOKUP(C1278,P:Q,2,0)),"",VLOOKUP(C1278,P:Q,2,0))</f>
        <v/>
      </c>
      <c r="F1278" s="15" t="str">
        <f>IF(ISNA(VLOOKUP(C1278,P:R,3,0)),"",VLOOKUP(C1278,P:R,3,0))</f>
        <v/>
      </c>
      <c r="G1278">
        <f>ROUND(IF(D1278&gt;0,0,ABS(D1278)),2)</f>
        <v>0</v>
      </c>
      <c r="H1278">
        <f>ROUND(IF(D1278&gt;0,D1278,),2)</f>
        <v>0</v>
      </c>
      <c r="K1278" s="7"/>
      <c r="N1278" s="7"/>
      <c r="P1278" s="8"/>
      <c r="Q1278" s="5"/>
      <c r="R1278" s="5"/>
      <c r="AF1278" s="14"/>
    </row>
    <row r="1279" spans="1:32" customFormat="1" x14ac:dyDescent="0.25">
      <c r="A1279" s="9"/>
      <c r="C1279" s="14"/>
      <c r="E1279" t="str">
        <f>IF(ISNA(VLOOKUP(C1279,P:Q,2,0)),"",VLOOKUP(C1279,P:Q,2,0))</f>
        <v/>
      </c>
      <c r="F1279" s="15" t="str">
        <f>IF(ISNA(VLOOKUP(C1279,P:R,3,0)),"",VLOOKUP(C1279,P:R,3,0))</f>
        <v/>
      </c>
      <c r="G1279">
        <f>ROUND(IF(D1279&gt;0,0,ABS(D1279)),2)</f>
        <v>0</v>
      </c>
      <c r="H1279">
        <f>ROUND(IF(D1279&gt;0,D1279,),2)</f>
        <v>0</v>
      </c>
      <c r="K1279" s="7"/>
      <c r="N1279" s="7"/>
      <c r="P1279" s="8"/>
      <c r="Q1279" s="5"/>
      <c r="R1279" s="5"/>
      <c r="AF1279" s="14"/>
    </row>
    <row r="1280" spans="1:32" customFormat="1" x14ac:dyDescent="0.25">
      <c r="A1280" s="9"/>
      <c r="C1280" s="14"/>
      <c r="E1280" t="str">
        <f>IF(ISNA(VLOOKUP(C1280,P:Q,2,0)),"",VLOOKUP(C1280,P:Q,2,0))</f>
        <v/>
      </c>
      <c r="F1280" s="15" t="str">
        <f>IF(ISNA(VLOOKUP(C1280,P:R,3,0)),"",VLOOKUP(C1280,P:R,3,0))</f>
        <v/>
      </c>
      <c r="G1280">
        <f>ROUND(IF(D1280&gt;0,0,ABS(D1280)),2)</f>
        <v>0</v>
      </c>
      <c r="H1280">
        <f>ROUND(IF(D1280&gt;0,D1280,),2)</f>
        <v>0</v>
      </c>
      <c r="K1280" s="7"/>
      <c r="N1280" s="7"/>
      <c r="P1280" s="8"/>
      <c r="Q1280" s="5"/>
      <c r="R1280" s="5"/>
      <c r="AF1280" s="14"/>
    </row>
    <row r="1281" spans="1:32" customFormat="1" x14ac:dyDescent="0.25">
      <c r="A1281" s="9"/>
      <c r="C1281" s="14"/>
      <c r="E1281" t="str">
        <f>IF(ISNA(VLOOKUP(C1281,P:Q,2,0)),"",VLOOKUP(C1281,P:Q,2,0))</f>
        <v/>
      </c>
      <c r="F1281" s="15" t="str">
        <f>IF(ISNA(VLOOKUP(C1281,P:R,3,0)),"",VLOOKUP(C1281,P:R,3,0))</f>
        <v/>
      </c>
      <c r="G1281">
        <f>ROUND(IF(D1281&gt;0,0,ABS(D1281)),2)</f>
        <v>0</v>
      </c>
      <c r="H1281">
        <f>ROUND(IF(D1281&gt;0,D1281,),2)</f>
        <v>0</v>
      </c>
      <c r="K1281" s="7"/>
      <c r="N1281" s="7"/>
      <c r="P1281" s="8"/>
      <c r="Q1281" s="5"/>
      <c r="R1281" s="5"/>
      <c r="AF1281" s="14"/>
    </row>
    <row r="1282" spans="1:32" customFormat="1" x14ac:dyDescent="0.25">
      <c r="A1282" s="9"/>
      <c r="C1282" s="14"/>
      <c r="E1282" t="str">
        <f>IF(ISNA(VLOOKUP(C1282,P:Q,2,0)),"",VLOOKUP(C1282,P:Q,2,0))</f>
        <v/>
      </c>
      <c r="F1282" s="15" t="str">
        <f>IF(ISNA(VLOOKUP(C1282,P:R,3,0)),"",VLOOKUP(C1282,P:R,3,0))</f>
        <v/>
      </c>
      <c r="G1282">
        <f>ROUND(IF(D1282&gt;0,0,ABS(D1282)),2)</f>
        <v>0</v>
      </c>
      <c r="H1282">
        <f>ROUND(IF(D1282&gt;0,D1282,),2)</f>
        <v>0</v>
      </c>
      <c r="K1282" s="7"/>
      <c r="N1282" s="7"/>
      <c r="P1282" s="8"/>
      <c r="Q1282" s="5"/>
      <c r="R1282" s="5"/>
      <c r="AF1282" s="14"/>
    </row>
    <row r="1283" spans="1:32" customFormat="1" x14ac:dyDescent="0.25">
      <c r="A1283" s="9"/>
      <c r="C1283" s="14"/>
      <c r="E1283" t="str">
        <f>IF(ISNA(VLOOKUP(C1283,P:Q,2,0)),"",VLOOKUP(C1283,P:Q,2,0))</f>
        <v/>
      </c>
      <c r="F1283" s="15" t="str">
        <f>IF(ISNA(VLOOKUP(C1283,P:R,3,0)),"",VLOOKUP(C1283,P:R,3,0))</f>
        <v/>
      </c>
      <c r="G1283">
        <f>ROUND(IF(D1283&gt;0,0,ABS(D1283)),2)</f>
        <v>0</v>
      </c>
      <c r="H1283">
        <f>ROUND(IF(D1283&gt;0,D1283,),2)</f>
        <v>0</v>
      </c>
      <c r="K1283" s="7"/>
      <c r="N1283" s="7"/>
      <c r="P1283" s="8"/>
      <c r="Q1283" s="5"/>
      <c r="R1283" s="5"/>
      <c r="AF1283" s="14"/>
    </row>
    <row r="1284" spans="1:32" customFormat="1" x14ac:dyDescent="0.25">
      <c r="A1284" s="9"/>
      <c r="C1284" s="14"/>
      <c r="E1284" t="str">
        <f>IF(ISNA(VLOOKUP(C1284,P:Q,2,0)),"",VLOOKUP(C1284,P:Q,2,0))</f>
        <v/>
      </c>
      <c r="F1284" s="15" t="str">
        <f>IF(ISNA(VLOOKUP(C1284,P:R,3,0)),"",VLOOKUP(C1284,P:R,3,0))</f>
        <v/>
      </c>
      <c r="G1284">
        <f>ROUND(IF(D1284&gt;0,0,ABS(D1284)),2)</f>
        <v>0</v>
      </c>
      <c r="H1284">
        <f>ROUND(IF(D1284&gt;0,D1284,),2)</f>
        <v>0</v>
      </c>
      <c r="K1284" s="7"/>
      <c r="N1284" s="7"/>
      <c r="P1284" s="8"/>
      <c r="Q1284" s="5"/>
      <c r="R1284" s="5"/>
      <c r="AF1284" s="14"/>
    </row>
    <row r="1285" spans="1:32" customFormat="1" x14ac:dyDescent="0.25">
      <c r="A1285" s="9"/>
      <c r="C1285" s="14"/>
      <c r="E1285" t="str">
        <f>IF(ISNA(VLOOKUP(C1285,P:Q,2,0)),"",VLOOKUP(C1285,P:Q,2,0))</f>
        <v/>
      </c>
      <c r="F1285" s="15" t="str">
        <f>IF(ISNA(VLOOKUP(C1285,P:R,3,0)),"",VLOOKUP(C1285,P:R,3,0))</f>
        <v/>
      </c>
      <c r="G1285">
        <f>ROUND(IF(D1285&gt;0,0,ABS(D1285)),2)</f>
        <v>0</v>
      </c>
      <c r="H1285">
        <f>ROUND(IF(D1285&gt;0,D1285,),2)</f>
        <v>0</v>
      </c>
      <c r="K1285" s="7"/>
      <c r="N1285" s="7"/>
      <c r="P1285" s="8"/>
      <c r="Q1285" s="5"/>
      <c r="R1285" s="5"/>
      <c r="AF1285" s="14"/>
    </row>
    <row r="1286" spans="1:32" customFormat="1" x14ac:dyDescent="0.25">
      <c r="A1286" s="9"/>
      <c r="C1286" s="14"/>
      <c r="E1286" t="str">
        <f>IF(ISNA(VLOOKUP(C1286,P:Q,2,0)),"",VLOOKUP(C1286,P:Q,2,0))</f>
        <v/>
      </c>
      <c r="F1286" s="15" t="str">
        <f>IF(ISNA(VLOOKUP(C1286,P:R,3,0)),"",VLOOKUP(C1286,P:R,3,0))</f>
        <v/>
      </c>
      <c r="G1286">
        <f>ROUND(IF(D1286&gt;0,0,ABS(D1286)),2)</f>
        <v>0</v>
      </c>
      <c r="H1286">
        <f>ROUND(IF(D1286&gt;0,D1286,),2)</f>
        <v>0</v>
      </c>
      <c r="K1286" s="7"/>
      <c r="N1286" s="7"/>
      <c r="P1286" s="8"/>
      <c r="Q1286" s="5"/>
      <c r="R1286" s="5"/>
      <c r="AF1286" s="14"/>
    </row>
    <row r="1287" spans="1:32" customFormat="1" x14ac:dyDescent="0.25">
      <c r="A1287" s="9"/>
      <c r="C1287" s="14"/>
      <c r="E1287" t="str">
        <f>IF(ISNA(VLOOKUP(C1287,P:Q,2,0)),"",VLOOKUP(C1287,P:Q,2,0))</f>
        <v/>
      </c>
      <c r="F1287" s="15" t="str">
        <f>IF(ISNA(VLOOKUP(C1287,P:R,3,0)),"",VLOOKUP(C1287,P:R,3,0))</f>
        <v/>
      </c>
      <c r="G1287">
        <f>ROUND(IF(D1287&gt;0,0,ABS(D1287)),2)</f>
        <v>0</v>
      </c>
      <c r="H1287">
        <f>ROUND(IF(D1287&gt;0,D1287,),2)</f>
        <v>0</v>
      </c>
      <c r="K1287" s="7"/>
      <c r="N1287" s="7"/>
      <c r="P1287" s="8"/>
      <c r="Q1287" s="5"/>
      <c r="R1287" s="5"/>
      <c r="AF1287" s="14"/>
    </row>
    <row r="1288" spans="1:32" customFormat="1" x14ac:dyDescent="0.25">
      <c r="A1288" s="9"/>
      <c r="C1288" s="14"/>
      <c r="E1288" t="str">
        <f>IF(ISNA(VLOOKUP(C1288,P:Q,2,0)),"",VLOOKUP(C1288,P:Q,2,0))</f>
        <v/>
      </c>
      <c r="F1288" s="15" t="str">
        <f>IF(ISNA(VLOOKUP(C1288,P:R,3,0)),"",VLOOKUP(C1288,P:R,3,0))</f>
        <v/>
      </c>
      <c r="G1288">
        <f>ROUND(IF(D1288&gt;0,0,ABS(D1288)),2)</f>
        <v>0</v>
      </c>
      <c r="H1288">
        <f>ROUND(IF(D1288&gt;0,D1288,),2)</f>
        <v>0</v>
      </c>
      <c r="K1288" s="7"/>
      <c r="N1288" s="7"/>
      <c r="P1288" s="8"/>
      <c r="Q1288" s="5"/>
      <c r="R1288" s="5"/>
      <c r="AF1288" s="14"/>
    </row>
    <row r="1289" spans="1:32" customFormat="1" x14ac:dyDescent="0.25">
      <c r="A1289" s="9"/>
      <c r="C1289" s="14"/>
      <c r="E1289" t="str">
        <f>IF(ISNA(VLOOKUP(C1289,P:Q,2,0)),"",VLOOKUP(C1289,P:Q,2,0))</f>
        <v/>
      </c>
      <c r="F1289" s="15" t="str">
        <f>IF(ISNA(VLOOKUP(C1289,P:R,3,0)),"",VLOOKUP(C1289,P:R,3,0))</f>
        <v/>
      </c>
      <c r="G1289">
        <f>ROUND(IF(D1289&gt;0,0,ABS(D1289)),2)</f>
        <v>0</v>
      </c>
      <c r="H1289">
        <f>ROUND(IF(D1289&gt;0,D1289,),2)</f>
        <v>0</v>
      </c>
      <c r="K1289" s="7"/>
      <c r="N1289" s="7"/>
      <c r="P1289" s="8"/>
      <c r="Q1289" s="5"/>
      <c r="R1289" s="5"/>
      <c r="AF1289" s="14"/>
    </row>
    <row r="1290" spans="1:32" customFormat="1" x14ac:dyDescent="0.25">
      <c r="A1290" s="9"/>
      <c r="C1290" s="14"/>
      <c r="E1290" t="str">
        <f>IF(ISNA(VLOOKUP(C1290,P:Q,2,0)),"",VLOOKUP(C1290,P:Q,2,0))</f>
        <v/>
      </c>
      <c r="F1290" s="15" t="str">
        <f>IF(ISNA(VLOOKUP(C1290,P:R,3,0)),"",VLOOKUP(C1290,P:R,3,0))</f>
        <v/>
      </c>
      <c r="G1290">
        <f>ROUND(IF(D1290&gt;0,0,ABS(D1290)),2)</f>
        <v>0</v>
      </c>
      <c r="H1290">
        <f>ROUND(IF(D1290&gt;0,D1290,),2)</f>
        <v>0</v>
      </c>
      <c r="K1290" s="7"/>
      <c r="N1290" s="7"/>
      <c r="P1290" s="8"/>
      <c r="Q1290" s="5"/>
      <c r="R1290" s="5"/>
      <c r="AF1290" s="14"/>
    </row>
    <row r="1291" spans="1:32" customFormat="1" x14ac:dyDescent="0.25">
      <c r="A1291" s="9"/>
      <c r="C1291" s="14"/>
      <c r="E1291" t="str">
        <f>IF(ISNA(VLOOKUP(C1291,P:Q,2,0)),"",VLOOKUP(C1291,P:Q,2,0))</f>
        <v/>
      </c>
      <c r="F1291" s="15" t="str">
        <f>IF(ISNA(VLOOKUP(C1291,P:R,3,0)),"",VLOOKUP(C1291,P:R,3,0))</f>
        <v/>
      </c>
      <c r="G1291">
        <f>ROUND(IF(D1291&gt;0,0,ABS(D1291)),2)</f>
        <v>0</v>
      </c>
      <c r="H1291">
        <f>ROUND(IF(D1291&gt;0,D1291,),2)</f>
        <v>0</v>
      </c>
      <c r="K1291" s="7"/>
      <c r="N1291" s="7"/>
      <c r="P1291" s="8"/>
      <c r="Q1291" s="5"/>
      <c r="R1291" s="5"/>
      <c r="AF1291" s="14"/>
    </row>
    <row r="1292" spans="1:32" customFormat="1" x14ac:dyDescent="0.25">
      <c r="A1292" s="9"/>
      <c r="C1292" s="14"/>
      <c r="E1292" t="str">
        <f>IF(ISNA(VLOOKUP(C1292,P:Q,2,0)),"",VLOOKUP(C1292,P:Q,2,0))</f>
        <v/>
      </c>
      <c r="F1292" s="15" t="str">
        <f>IF(ISNA(VLOOKUP(C1292,P:R,3,0)),"",VLOOKUP(C1292,P:R,3,0))</f>
        <v/>
      </c>
      <c r="G1292">
        <f>ROUND(IF(D1292&gt;0,0,ABS(D1292)),2)</f>
        <v>0</v>
      </c>
      <c r="H1292">
        <f>ROUND(IF(D1292&gt;0,D1292,),2)</f>
        <v>0</v>
      </c>
      <c r="K1292" s="7"/>
      <c r="N1292" s="7"/>
      <c r="P1292" s="8"/>
      <c r="Q1292" s="5"/>
      <c r="R1292" s="5"/>
      <c r="AF1292" s="14"/>
    </row>
    <row r="1293" spans="1:32" customFormat="1" x14ac:dyDescent="0.25">
      <c r="A1293" s="9"/>
      <c r="C1293" s="14"/>
      <c r="E1293" t="str">
        <f>IF(ISNA(VLOOKUP(C1293,P:Q,2,0)),"",VLOOKUP(C1293,P:Q,2,0))</f>
        <v/>
      </c>
      <c r="F1293" s="15" t="str">
        <f>IF(ISNA(VLOOKUP(C1293,P:R,3,0)),"",VLOOKUP(C1293,P:R,3,0))</f>
        <v/>
      </c>
      <c r="G1293">
        <f>ROUND(IF(D1293&gt;0,0,ABS(D1293)),2)</f>
        <v>0</v>
      </c>
      <c r="H1293">
        <f>ROUND(IF(D1293&gt;0,D1293,),2)</f>
        <v>0</v>
      </c>
      <c r="K1293" s="7"/>
      <c r="N1293" s="7"/>
      <c r="P1293" s="8"/>
      <c r="Q1293" s="5"/>
      <c r="R1293" s="5"/>
      <c r="AF1293" s="14"/>
    </row>
    <row r="1294" spans="1:32" customFormat="1" x14ac:dyDescent="0.25">
      <c r="A1294" s="9"/>
      <c r="C1294" s="14"/>
      <c r="E1294" t="str">
        <f>IF(ISNA(VLOOKUP(C1294,P:Q,2,0)),"",VLOOKUP(C1294,P:Q,2,0))</f>
        <v/>
      </c>
      <c r="F1294" s="15" t="str">
        <f>IF(ISNA(VLOOKUP(C1294,P:R,3,0)),"",VLOOKUP(C1294,P:R,3,0))</f>
        <v/>
      </c>
      <c r="G1294">
        <f>ROUND(IF(D1294&gt;0,0,ABS(D1294)),2)</f>
        <v>0</v>
      </c>
      <c r="H1294">
        <f>ROUND(IF(D1294&gt;0,D1294,),2)</f>
        <v>0</v>
      </c>
      <c r="K1294" s="7"/>
      <c r="N1294" s="7"/>
      <c r="P1294" s="8"/>
      <c r="Q1294" s="5"/>
      <c r="R1294" s="5"/>
      <c r="AF1294" s="14"/>
    </row>
    <row r="1295" spans="1:32" customFormat="1" x14ac:dyDescent="0.25">
      <c r="A1295" s="9"/>
      <c r="C1295" s="14"/>
      <c r="E1295" t="str">
        <f>IF(ISNA(VLOOKUP(C1295,P:Q,2,0)),"",VLOOKUP(C1295,P:Q,2,0))</f>
        <v/>
      </c>
      <c r="F1295" s="15" t="str">
        <f>IF(ISNA(VLOOKUP(C1295,P:R,3,0)),"",VLOOKUP(C1295,P:R,3,0))</f>
        <v/>
      </c>
      <c r="G1295">
        <f>ROUND(IF(D1295&gt;0,0,ABS(D1295)),2)</f>
        <v>0</v>
      </c>
      <c r="H1295">
        <f>ROUND(IF(D1295&gt;0,D1295,),2)</f>
        <v>0</v>
      </c>
      <c r="K1295" s="7"/>
      <c r="N1295" s="7"/>
      <c r="P1295" s="8"/>
      <c r="Q1295" s="5"/>
      <c r="R1295" s="5"/>
      <c r="AF1295" s="14"/>
    </row>
    <row r="1296" spans="1:32" customFormat="1" x14ac:dyDescent="0.25">
      <c r="A1296" s="9"/>
      <c r="C1296" s="14"/>
      <c r="E1296" t="str">
        <f>IF(ISNA(VLOOKUP(C1296,P:Q,2,0)),"",VLOOKUP(C1296,P:Q,2,0))</f>
        <v/>
      </c>
      <c r="F1296" s="15" t="str">
        <f>IF(ISNA(VLOOKUP(C1296,P:R,3,0)),"",VLOOKUP(C1296,P:R,3,0))</f>
        <v/>
      </c>
      <c r="G1296">
        <f>ROUND(IF(D1296&gt;0,0,ABS(D1296)),2)</f>
        <v>0</v>
      </c>
      <c r="H1296">
        <f>ROUND(IF(D1296&gt;0,D1296,),2)</f>
        <v>0</v>
      </c>
      <c r="K1296" s="7"/>
      <c r="N1296" s="7"/>
      <c r="P1296" s="8"/>
      <c r="Q1296" s="5"/>
      <c r="R1296" s="5"/>
      <c r="AF1296" s="14"/>
    </row>
    <row r="1297" spans="1:32" customFormat="1" x14ac:dyDescent="0.25">
      <c r="A1297" s="9"/>
      <c r="C1297" s="14"/>
      <c r="E1297" t="str">
        <f>IF(ISNA(VLOOKUP(C1297,P:Q,2,0)),"",VLOOKUP(C1297,P:Q,2,0))</f>
        <v/>
      </c>
      <c r="F1297" s="15" t="str">
        <f>IF(ISNA(VLOOKUP(C1297,P:R,3,0)),"",VLOOKUP(C1297,P:R,3,0))</f>
        <v/>
      </c>
      <c r="G1297">
        <f>ROUND(IF(D1297&gt;0,0,ABS(D1297)),2)</f>
        <v>0</v>
      </c>
      <c r="H1297">
        <f>ROUND(IF(D1297&gt;0,D1297,),2)</f>
        <v>0</v>
      </c>
      <c r="K1297" s="7"/>
      <c r="N1297" s="7"/>
      <c r="P1297" s="8"/>
      <c r="Q1297" s="5"/>
      <c r="R1297" s="5"/>
      <c r="AF1297" s="14"/>
    </row>
    <row r="1298" spans="1:32" customFormat="1" x14ac:dyDescent="0.25">
      <c r="A1298" s="9"/>
      <c r="C1298" s="14"/>
      <c r="E1298" t="str">
        <f>IF(ISNA(VLOOKUP(C1298,P:Q,2,0)),"",VLOOKUP(C1298,P:Q,2,0))</f>
        <v/>
      </c>
      <c r="F1298" s="15" t="str">
        <f>IF(ISNA(VLOOKUP(C1298,P:R,3,0)),"",VLOOKUP(C1298,P:R,3,0))</f>
        <v/>
      </c>
      <c r="G1298">
        <f>ROUND(IF(D1298&gt;0,0,ABS(D1298)),2)</f>
        <v>0</v>
      </c>
      <c r="H1298">
        <f>ROUND(IF(D1298&gt;0,D1298,),2)</f>
        <v>0</v>
      </c>
      <c r="K1298" s="7"/>
      <c r="N1298" s="7"/>
      <c r="P1298" s="8"/>
      <c r="Q1298" s="5"/>
      <c r="R1298" s="5"/>
      <c r="AF1298" s="14"/>
    </row>
    <row r="1299" spans="1:32" customFormat="1" x14ac:dyDescent="0.25">
      <c r="A1299" s="9"/>
      <c r="C1299" s="14"/>
      <c r="E1299" t="str">
        <f>IF(ISNA(VLOOKUP(C1299,P:Q,2,0)),"",VLOOKUP(C1299,P:Q,2,0))</f>
        <v/>
      </c>
      <c r="F1299" s="15" t="str">
        <f>IF(ISNA(VLOOKUP(C1299,P:R,3,0)),"",VLOOKUP(C1299,P:R,3,0))</f>
        <v/>
      </c>
      <c r="G1299">
        <f>ROUND(IF(D1299&gt;0,0,ABS(D1299)),2)</f>
        <v>0</v>
      </c>
      <c r="H1299">
        <f>ROUND(IF(D1299&gt;0,D1299,),2)</f>
        <v>0</v>
      </c>
      <c r="K1299" s="7"/>
      <c r="N1299" s="7"/>
      <c r="P1299" s="8"/>
      <c r="Q1299" s="5"/>
      <c r="R1299" s="5"/>
      <c r="AF1299" s="14"/>
    </row>
    <row r="1300" spans="1:32" customFormat="1" x14ac:dyDescent="0.25">
      <c r="A1300" s="9"/>
      <c r="C1300" s="14"/>
      <c r="E1300" t="str">
        <f>IF(ISNA(VLOOKUP(C1300,P:Q,2,0)),"",VLOOKUP(C1300,P:Q,2,0))</f>
        <v/>
      </c>
      <c r="F1300" s="15" t="str">
        <f>IF(ISNA(VLOOKUP(C1300,P:R,3,0)),"",VLOOKUP(C1300,P:R,3,0))</f>
        <v/>
      </c>
      <c r="G1300">
        <f>ROUND(IF(D1300&gt;0,0,ABS(D1300)),2)</f>
        <v>0</v>
      </c>
      <c r="H1300">
        <f>ROUND(IF(D1300&gt;0,D1300,),2)</f>
        <v>0</v>
      </c>
      <c r="K1300" s="7"/>
      <c r="N1300" s="7"/>
      <c r="P1300" s="8"/>
      <c r="Q1300" s="5"/>
      <c r="R1300" s="5"/>
      <c r="AF1300" s="14"/>
    </row>
    <row r="1301" spans="1:32" customFormat="1" x14ac:dyDescent="0.25">
      <c r="A1301" s="9"/>
      <c r="C1301" s="14"/>
      <c r="E1301" t="str">
        <f>IF(ISNA(VLOOKUP(C1301,P:Q,2,0)),"",VLOOKUP(C1301,P:Q,2,0))</f>
        <v/>
      </c>
      <c r="F1301" s="15" t="str">
        <f>IF(ISNA(VLOOKUP(C1301,P:R,3,0)),"",VLOOKUP(C1301,P:R,3,0))</f>
        <v/>
      </c>
      <c r="G1301">
        <f>ROUND(IF(D1301&gt;0,0,ABS(D1301)),2)</f>
        <v>0</v>
      </c>
      <c r="H1301">
        <f>ROUND(IF(D1301&gt;0,D1301,),2)</f>
        <v>0</v>
      </c>
      <c r="K1301" s="7"/>
      <c r="N1301" s="7"/>
      <c r="P1301" s="8"/>
      <c r="Q1301" s="5"/>
      <c r="R1301" s="5"/>
      <c r="AF1301" s="14"/>
    </row>
    <row r="1302" spans="1:32" customFormat="1" x14ac:dyDescent="0.25">
      <c r="A1302" s="9"/>
      <c r="C1302" s="14"/>
      <c r="E1302" t="str">
        <f>IF(ISNA(VLOOKUP(C1302,P:Q,2,0)),"",VLOOKUP(C1302,P:Q,2,0))</f>
        <v/>
      </c>
      <c r="F1302" s="15" t="str">
        <f>IF(ISNA(VLOOKUP(C1302,P:R,3,0)),"",VLOOKUP(C1302,P:R,3,0))</f>
        <v/>
      </c>
      <c r="G1302">
        <f>ROUND(IF(D1302&gt;0,0,ABS(D1302)),2)</f>
        <v>0</v>
      </c>
      <c r="H1302">
        <f>ROUND(IF(D1302&gt;0,D1302,),2)</f>
        <v>0</v>
      </c>
      <c r="K1302" s="7"/>
      <c r="N1302" s="7"/>
      <c r="P1302" s="8"/>
      <c r="Q1302" s="5"/>
      <c r="R1302" s="5"/>
      <c r="AF1302" s="14"/>
    </row>
    <row r="1303" spans="1:32" customFormat="1" x14ac:dyDescent="0.25">
      <c r="A1303" s="9"/>
      <c r="C1303" s="14"/>
      <c r="E1303" t="str">
        <f>IF(ISNA(VLOOKUP(C1303,P:Q,2,0)),"",VLOOKUP(C1303,P:Q,2,0))</f>
        <v/>
      </c>
      <c r="F1303" s="15" t="str">
        <f>IF(ISNA(VLOOKUP(C1303,P:R,3,0)),"",VLOOKUP(C1303,P:R,3,0))</f>
        <v/>
      </c>
      <c r="G1303">
        <f>ROUND(IF(D1303&gt;0,0,ABS(D1303)),2)</f>
        <v>0</v>
      </c>
      <c r="H1303">
        <f>ROUND(IF(D1303&gt;0,D1303,),2)</f>
        <v>0</v>
      </c>
      <c r="K1303" s="7"/>
      <c r="N1303" s="7"/>
      <c r="P1303" s="8"/>
      <c r="Q1303" s="5"/>
      <c r="R1303" s="5"/>
      <c r="AF1303" s="14"/>
    </row>
    <row r="1304" spans="1:32" customFormat="1" x14ac:dyDescent="0.25">
      <c r="A1304" s="9"/>
      <c r="C1304" s="14"/>
      <c r="E1304" t="str">
        <f>IF(ISNA(VLOOKUP(C1304,P:Q,2,0)),"",VLOOKUP(C1304,P:Q,2,0))</f>
        <v/>
      </c>
      <c r="F1304" s="15" t="str">
        <f>IF(ISNA(VLOOKUP(C1304,P:R,3,0)),"",VLOOKUP(C1304,P:R,3,0))</f>
        <v/>
      </c>
      <c r="G1304">
        <f>ROUND(IF(D1304&gt;0,0,ABS(D1304)),2)</f>
        <v>0</v>
      </c>
      <c r="H1304">
        <f>ROUND(IF(D1304&gt;0,D1304,),2)</f>
        <v>0</v>
      </c>
      <c r="K1304" s="7"/>
      <c r="N1304" s="7"/>
      <c r="P1304" s="8"/>
      <c r="Q1304" s="5"/>
      <c r="R1304" s="5"/>
      <c r="AF1304" s="14"/>
    </row>
    <row r="1305" spans="1:32" customFormat="1" x14ac:dyDescent="0.25">
      <c r="A1305" s="9"/>
      <c r="C1305" s="14"/>
      <c r="E1305" t="str">
        <f>IF(ISNA(VLOOKUP(C1305,P:Q,2,0)),"",VLOOKUP(C1305,P:Q,2,0))</f>
        <v/>
      </c>
      <c r="F1305" s="15" t="str">
        <f>IF(ISNA(VLOOKUP(C1305,P:R,3,0)),"",VLOOKUP(C1305,P:R,3,0))</f>
        <v/>
      </c>
      <c r="G1305">
        <f>ROUND(IF(D1305&gt;0,0,ABS(D1305)),2)</f>
        <v>0</v>
      </c>
      <c r="H1305">
        <f>ROUND(IF(D1305&gt;0,D1305,),2)</f>
        <v>0</v>
      </c>
      <c r="K1305" s="7"/>
      <c r="N1305" s="7"/>
      <c r="P1305" s="8"/>
      <c r="Q1305" s="5"/>
      <c r="R1305" s="5"/>
      <c r="AF1305" s="14"/>
    </row>
    <row r="1306" spans="1:32" customFormat="1" x14ac:dyDescent="0.25">
      <c r="A1306" s="9"/>
      <c r="C1306" s="14"/>
      <c r="E1306" t="str">
        <f>IF(ISNA(VLOOKUP(C1306,P:Q,2,0)),"",VLOOKUP(C1306,P:Q,2,0))</f>
        <v/>
      </c>
      <c r="F1306" s="15" t="str">
        <f>IF(ISNA(VLOOKUP(C1306,P:R,3,0)),"",VLOOKUP(C1306,P:R,3,0))</f>
        <v/>
      </c>
      <c r="G1306">
        <f>ROUND(IF(D1306&gt;0,0,ABS(D1306)),2)</f>
        <v>0</v>
      </c>
      <c r="H1306">
        <f>ROUND(IF(D1306&gt;0,D1306,),2)</f>
        <v>0</v>
      </c>
      <c r="K1306" s="7"/>
      <c r="N1306" s="7"/>
      <c r="P1306" s="8"/>
      <c r="Q1306" s="5"/>
      <c r="R1306" s="5"/>
      <c r="AF1306" s="14"/>
    </row>
    <row r="1307" spans="1:32" customFormat="1" x14ac:dyDescent="0.25">
      <c r="A1307" s="9"/>
      <c r="C1307" s="14"/>
      <c r="E1307" t="str">
        <f>IF(ISNA(VLOOKUP(C1307,P:Q,2,0)),"",VLOOKUP(C1307,P:Q,2,0))</f>
        <v/>
      </c>
      <c r="F1307" s="15" t="str">
        <f>IF(ISNA(VLOOKUP(C1307,P:R,3,0)),"",VLOOKUP(C1307,P:R,3,0))</f>
        <v/>
      </c>
      <c r="G1307">
        <f>ROUND(IF(D1307&gt;0,0,ABS(D1307)),2)</f>
        <v>0</v>
      </c>
      <c r="H1307">
        <f>ROUND(IF(D1307&gt;0,D1307,),2)</f>
        <v>0</v>
      </c>
      <c r="K1307" s="7"/>
      <c r="N1307" s="7"/>
      <c r="P1307" s="8"/>
      <c r="Q1307" s="5"/>
      <c r="R1307" s="5"/>
      <c r="AF1307" s="14"/>
    </row>
    <row r="1308" spans="1:32" customFormat="1" x14ac:dyDescent="0.25">
      <c r="A1308" s="9"/>
      <c r="C1308" s="14"/>
      <c r="E1308" t="str">
        <f>IF(ISNA(VLOOKUP(C1308,P:Q,2,0)),"",VLOOKUP(C1308,P:Q,2,0))</f>
        <v/>
      </c>
      <c r="F1308" s="15" t="str">
        <f>IF(ISNA(VLOOKUP(C1308,P:R,3,0)),"",VLOOKUP(C1308,P:R,3,0))</f>
        <v/>
      </c>
      <c r="G1308">
        <f>ROUND(IF(D1308&gt;0,0,ABS(D1308)),2)</f>
        <v>0</v>
      </c>
      <c r="H1308">
        <f>ROUND(IF(D1308&gt;0,D1308,),2)</f>
        <v>0</v>
      </c>
      <c r="K1308" s="7"/>
      <c r="N1308" s="7"/>
      <c r="P1308" s="8"/>
      <c r="Q1308" s="5"/>
      <c r="R1308" s="5"/>
      <c r="AF1308" s="14"/>
    </row>
    <row r="1309" spans="1:32" customFormat="1" x14ac:dyDescent="0.25">
      <c r="A1309" s="9"/>
      <c r="C1309" s="14"/>
      <c r="E1309" t="str">
        <f>IF(ISNA(VLOOKUP(C1309,P:Q,2,0)),"",VLOOKUP(C1309,P:Q,2,0))</f>
        <v/>
      </c>
      <c r="F1309" s="15" t="str">
        <f>IF(ISNA(VLOOKUP(C1309,P:R,3,0)),"",VLOOKUP(C1309,P:R,3,0))</f>
        <v/>
      </c>
      <c r="G1309">
        <f>ROUND(IF(D1309&gt;0,0,ABS(D1309)),2)</f>
        <v>0</v>
      </c>
      <c r="H1309">
        <f>ROUND(IF(D1309&gt;0,D1309,),2)</f>
        <v>0</v>
      </c>
      <c r="K1309" s="7"/>
      <c r="N1309" s="7"/>
      <c r="P1309" s="8"/>
      <c r="Q1309" s="5"/>
      <c r="R1309" s="5"/>
      <c r="AF1309" s="14"/>
    </row>
    <row r="1310" spans="1:32" customFormat="1" x14ac:dyDescent="0.25">
      <c r="A1310" s="9"/>
      <c r="C1310" s="14"/>
      <c r="E1310" t="str">
        <f>IF(ISNA(VLOOKUP(C1310,P:Q,2,0)),"",VLOOKUP(C1310,P:Q,2,0))</f>
        <v/>
      </c>
      <c r="F1310" s="15" t="str">
        <f>IF(ISNA(VLOOKUP(C1310,P:R,3,0)),"",VLOOKUP(C1310,P:R,3,0))</f>
        <v/>
      </c>
      <c r="G1310">
        <f>ROUND(IF(D1310&gt;0,0,ABS(D1310)),2)</f>
        <v>0</v>
      </c>
      <c r="H1310">
        <f>ROUND(IF(D1310&gt;0,D1310,),2)</f>
        <v>0</v>
      </c>
      <c r="K1310" s="7"/>
      <c r="N1310" s="7"/>
      <c r="P1310" s="8"/>
      <c r="Q1310" s="5"/>
      <c r="R1310" s="5"/>
      <c r="AF1310" s="14"/>
    </row>
    <row r="1311" spans="1:32" customFormat="1" x14ac:dyDescent="0.25">
      <c r="A1311" s="9"/>
      <c r="C1311" s="14"/>
      <c r="E1311" t="str">
        <f>IF(ISNA(VLOOKUP(C1311,P:Q,2,0)),"",VLOOKUP(C1311,P:Q,2,0))</f>
        <v/>
      </c>
      <c r="F1311" s="15" t="str">
        <f>IF(ISNA(VLOOKUP(C1311,P:R,3,0)),"",VLOOKUP(C1311,P:R,3,0))</f>
        <v/>
      </c>
      <c r="G1311">
        <f>ROUND(IF(D1311&gt;0,0,ABS(D1311)),2)</f>
        <v>0</v>
      </c>
      <c r="H1311">
        <f>ROUND(IF(D1311&gt;0,D1311,),2)</f>
        <v>0</v>
      </c>
      <c r="K1311" s="7"/>
      <c r="N1311" s="7"/>
      <c r="P1311" s="8"/>
      <c r="Q1311" s="5"/>
      <c r="R1311" s="5"/>
      <c r="AF1311" s="14"/>
    </row>
    <row r="1312" spans="1:32" customFormat="1" x14ac:dyDescent="0.25">
      <c r="A1312" s="9"/>
      <c r="C1312" s="14"/>
      <c r="E1312" t="str">
        <f>IF(ISNA(VLOOKUP(C1312,P:Q,2,0)),"",VLOOKUP(C1312,P:Q,2,0))</f>
        <v/>
      </c>
      <c r="F1312" s="15" t="str">
        <f>IF(ISNA(VLOOKUP(C1312,P:R,3,0)),"",VLOOKUP(C1312,P:R,3,0))</f>
        <v/>
      </c>
      <c r="G1312">
        <f>ROUND(IF(D1312&gt;0,0,ABS(D1312)),2)</f>
        <v>0</v>
      </c>
      <c r="H1312">
        <f>ROUND(IF(D1312&gt;0,D1312,),2)</f>
        <v>0</v>
      </c>
      <c r="K1312" s="7"/>
      <c r="N1312" s="7"/>
      <c r="P1312" s="8"/>
      <c r="Q1312" s="5"/>
      <c r="R1312" s="5"/>
      <c r="AF1312" s="14"/>
    </row>
    <row r="1313" spans="1:32" customFormat="1" x14ac:dyDescent="0.25">
      <c r="A1313" s="9"/>
      <c r="C1313" s="14"/>
      <c r="E1313" t="str">
        <f>IF(ISNA(VLOOKUP(C1313,P:Q,2,0)),"",VLOOKUP(C1313,P:Q,2,0))</f>
        <v/>
      </c>
      <c r="F1313" s="15" t="str">
        <f>IF(ISNA(VLOOKUP(C1313,P:R,3,0)),"",VLOOKUP(C1313,P:R,3,0))</f>
        <v/>
      </c>
      <c r="G1313">
        <f>ROUND(IF(D1313&gt;0,0,ABS(D1313)),2)</f>
        <v>0</v>
      </c>
      <c r="H1313">
        <f>ROUND(IF(D1313&gt;0,D1313,),2)</f>
        <v>0</v>
      </c>
      <c r="K1313" s="7"/>
      <c r="N1313" s="7"/>
      <c r="P1313" s="8"/>
      <c r="Q1313" s="5"/>
      <c r="R1313" s="5"/>
      <c r="AF1313" s="14"/>
    </row>
    <row r="1314" spans="1:32" customFormat="1" x14ac:dyDescent="0.25">
      <c r="A1314" s="9"/>
      <c r="C1314" s="14"/>
      <c r="E1314" t="str">
        <f>IF(ISNA(VLOOKUP(C1314,P:Q,2,0)),"",VLOOKUP(C1314,P:Q,2,0))</f>
        <v/>
      </c>
      <c r="F1314" s="15" t="str">
        <f>IF(ISNA(VLOOKUP(C1314,P:R,3,0)),"",VLOOKUP(C1314,P:R,3,0))</f>
        <v/>
      </c>
      <c r="G1314">
        <f>ROUND(IF(D1314&gt;0,0,ABS(D1314)),2)</f>
        <v>0</v>
      </c>
      <c r="H1314">
        <f>ROUND(IF(D1314&gt;0,D1314,),2)</f>
        <v>0</v>
      </c>
      <c r="K1314" s="7"/>
      <c r="N1314" s="7"/>
      <c r="P1314" s="8"/>
      <c r="Q1314" s="5"/>
      <c r="R1314" s="5"/>
      <c r="AF1314" s="14"/>
    </row>
    <row r="1315" spans="1:32" customFormat="1" x14ac:dyDescent="0.25">
      <c r="A1315" s="9"/>
      <c r="C1315" s="14"/>
      <c r="E1315" t="str">
        <f>IF(ISNA(VLOOKUP(C1315,P:Q,2,0)),"",VLOOKUP(C1315,P:Q,2,0))</f>
        <v/>
      </c>
      <c r="F1315" s="15" t="str">
        <f>IF(ISNA(VLOOKUP(C1315,P:R,3,0)),"",VLOOKUP(C1315,P:R,3,0))</f>
        <v/>
      </c>
      <c r="G1315">
        <f>ROUND(IF(D1315&gt;0,0,ABS(D1315)),2)</f>
        <v>0</v>
      </c>
      <c r="H1315">
        <f>ROUND(IF(D1315&gt;0,D1315,),2)</f>
        <v>0</v>
      </c>
      <c r="K1315" s="7"/>
      <c r="N1315" s="7"/>
      <c r="P1315" s="8"/>
      <c r="Q1315" s="5"/>
      <c r="R1315" s="5"/>
      <c r="AF1315" s="14"/>
    </row>
    <row r="1316" spans="1:32" customFormat="1" x14ac:dyDescent="0.25">
      <c r="A1316" s="9"/>
      <c r="C1316" s="14"/>
      <c r="E1316" t="str">
        <f>IF(ISNA(VLOOKUP(C1316,P:Q,2,0)),"",VLOOKUP(C1316,P:Q,2,0))</f>
        <v/>
      </c>
      <c r="F1316" s="15" t="str">
        <f>IF(ISNA(VLOOKUP(C1316,P:R,3,0)),"",VLOOKUP(C1316,P:R,3,0))</f>
        <v/>
      </c>
      <c r="G1316">
        <f>ROUND(IF(D1316&gt;0,0,ABS(D1316)),2)</f>
        <v>0</v>
      </c>
      <c r="H1316">
        <f>ROUND(IF(D1316&gt;0,D1316,),2)</f>
        <v>0</v>
      </c>
      <c r="K1316" s="7"/>
      <c r="N1316" s="7"/>
      <c r="P1316" s="8"/>
      <c r="Q1316" s="5"/>
      <c r="R1316" s="5"/>
      <c r="AF1316" s="14"/>
    </row>
    <row r="1317" spans="1:32" customFormat="1" x14ac:dyDescent="0.25">
      <c r="A1317" s="9"/>
      <c r="C1317" s="14"/>
      <c r="E1317" t="str">
        <f>IF(ISNA(VLOOKUP(C1317,P:Q,2,0)),"",VLOOKUP(C1317,P:Q,2,0))</f>
        <v/>
      </c>
      <c r="F1317" s="15" t="str">
        <f>IF(ISNA(VLOOKUP(C1317,P:R,3,0)),"",VLOOKUP(C1317,P:R,3,0))</f>
        <v/>
      </c>
      <c r="G1317">
        <f>ROUND(IF(D1317&gt;0,0,ABS(D1317)),2)</f>
        <v>0</v>
      </c>
      <c r="H1317">
        <f>ROUND(IF(D1317&gt;0,D1317,),2)</f>
        <v>0</v>
      </c>
      <c r="K1317" s="7"/>
      <c r="N1317" s="7"/>
      <c r="P1317" s="8"/>
      <c r="Q1317" s="5"/>
      <c r="R1317" s="5"/>
      <c r="AF1317" s="14"/>
    </row>
    <row r="1318" spans="1:32" customFormat="1" x14ac:dyDescent="0.25">
      <c r="A1318" s="9"/>
      <c r="C1318" s="14"/>
      <c r="E1318" t="str">
        <f>IF(ISNA(VLOOKUP(C1318,P:Q,2,0)),"",VLOOKUP(C1318,P:Q,2,0))</f>
        <v/>
      </c>
      <c r="F1318" s="15" t="str">
        <f>IF(ISNA(VLOOKUP(C1318,P:R,3,0)),"",VLOOKUP(C1318,P:R,3,0))</f>
        <v/>
      </c>
      <c r="G1318">
        <f>ROUND(IF(D1318&gt;0,0,ABS(D1318)),2)</f>
        <v>0</v>
      </c>
      <c r="H1318">
        <f>ROUND(IF(D1318&gt;0,D1318,),2)</f>
        <v>0</v>
      </c>
      <c r="K1318" s="7"/>
      <c r="N1318" s="7"/>
      <c r="P1318" s="8"/>
      <c r="Q1318" s="5"/>
      <c r="R1318" s="5"/>
      <c r="AF1318" s="14"/>
    </row>
    <row r="1319" spans="1:32" customFormat="1" x14ac:dyDescent="0.25">
      <c r="A1319" s="9"/>
      <c r="C1319" s="14"/>
      <c r="E1319" t="str">
        <f>IF(ISNA(VLOOKUP(C1319,P:Q,2,0)),"",VLOOKUP(C1319,P:Q,2,0))</f>
        <v/>
      </c>
      <c r="F1319" s="15" t="str">
        <f>IF(ISNA(VLOOKUP(C1319,P:R,3,0)),"",VLOOKUP(C1319,P:R,3,0))</f>
        <v/>
      </c>
      <c r="G1319">
        <f>ROUND(IF(D1319&gt;0,0,ABS(D1319)),2)</f>
        <v>0</v>
      </c>
      <c r="H1319">
        <f>ROUND(IF(D1319&gt;0,D1319,),2)</f>
        <v>0</v>
      </c>
      <c r="K1319" s="7"/>
      <c r="N1319" s="7"/>
      <c r="P1319" s="8"/>
      <c r="Q1319" s="5"/>
      <c r="R1319" s="5"/>
      <c r="AF1319" s="14"/>
    </row>
    <row r="1320" spans="1:32" customFormat="1" x14ac:dyDescent="0.25">
      <c r="A1320" s="9"/>
      <c r="C1320" s="14"/>
      <c r="E1320" t="str">
        <f>IF(ISNA(VLOOKUP(C1320,P:Q,2,0)),"",VLOOKUP(C1320,P:Q,2,0))</f>
        <v/>
      </c>
      <c r="F1320" s="15" t="str">
        <f>IF(ISNA(VLOOKUP(C1320,P:R,3,0)),"",VLOOKUP(C1320,P:R,3,0))</f>
        <v/>
      </c>
      <c r="G1320">
        <f>ROUND(IF(D1320&gt;0,0,ABS(D1320)),2)</f>
        <v>0</v>
      </c>
      <c r="H1320">
        <f>ROUND(IF(D1320&gt;0,D1320,),2)</f>
        <v>0</v>
      </c>
      <c r="K1320" s="7"/>
      <c r="N1320" s="7"/>
      <c r="P1320" s="8"/>
      <c r="Q1320" s="5"/>
      <c r="R1320" s="5"/>
      <c r="AF1320" s="14"/>
    </row>
    <row r="1321" spans="1:32" customFormat="1" x14ac:dyDescent="0.25">
      <c r="A1321" s="9"/>
      <c r="C1321" s="14"/>
      <c r="E1321" t="str">
        <f>IF(ISNA(VLOOKUP(C1321,P:Q,2,0)),"",VLOOKUP(C1321,P:Q,2,0))</f>
        <v/>
      </c>
      <c r="F1321" s="15" t="str">
        <f>IF(ISNA(VLOOKUP(C1321,P:R,3,0)),"",VLOOKUP(C1321,P:R,3,0))</f>
        <v/>
      </c>
      <c r="G1321">
        <f>ROUND(IF(D1321&gt;0,0,ABS(D1321)),2)</f>
        <v>0</v>
      </c>
      <c r="H1321">
        <f>ROUND(IF(D1321&gt;0,D1321,),2)</f>
        <v>0</v>
      </c>
      <c r="K1321" s="7"/>
      <c r="N1321" s="7"/>
      <c r="P1321" s="8"/>
      <c r="Q1321" s="5"/>
      <c r="R1321" s="5"/>
      <c r="AF1321" s="14"/>
    </row>
    <row r="1322" spans="1:32" customFormat="1" x14ac:dyDescent="0.25">
      <c r="A1322" s="9"/>
      <c r="C1322" s="14"/>
      <c r="E1322" t="str">
        <f>IF(ISNA(VLOOKUP(C1322,P:Q,2,0)),"",VLOOKUP(C1322,P:Q,2,0))</f>
        <v/>
      </c>
      <c r="F1322" s="15" t="str">
        <f>IF(ISNA(VLOOKUP(C1322,P:R,3,0)),"",VLOOKUP(C1322,P:R,3,0))</f>
        <v/>
      </c>
      <c r="G1322">
        <f>ROUND(IF(D1322&gt;0,0,ABS(D1322)),2)</f>
        <v>0</v>
      </c>
      <c r="H1322">
        <f>ROUND(IF(D1322&gt;0,D1322,),2)</f>
        <v>0</v>
      </c>
      <c r="K1322" s="7"/>
      <c r="N1322" s="7"/>
      <c r="P1322" s="8"/>
      <c r="Q1322" s="5"/>
      <c r="R1322" s="5"/>
      <c r="AF1322" s="14"/>
    </row>
    <row r="1323" spans="1:32" customFormat="1" x14ac:dyDescent="0.25">
      <c r="A1323" s="9"/>
      <c r="C1323" s="14"/>
      <c r="E1323" t="str">
        <f>IF(ISNA(VLOOKUP(C1323,P:Q,2,0)),"",VLOOKUP(C1323,P:Q,2,0))</f>
        <v/>
      </c>
      <c r="F1323" s="15" t="str">
        <f>IF(ISNA(VLOOKUP(C1323,P:R,3,0)),"",VLOOKUP(C1323,P:R,3,0))</f>
        <v/>
      </c>
      <c r="G1323">
        <f>ROUND(IF(D1323&gt;0,0,ABS(D1323)),2)</f>
        <v>0</v>
      </c>
      <c r="H1323">
        <f>ROUND(IF(D1323&gt;0,D1323,),2)</f>
        <v>0</v>
      </c>
      <c r="K1323" s="7"/>
      <c r="N1323" s="7"/>
      <c r="P1323" s="8"/>
      <c r="Q1323" s="5"/>
      <c r="R1323" s="5"/>
      <c r="AF1323" s="14"/>
    </row>
    <row r="1324" spans="1:32" customFormat="1" x14ac:dyDescent="0.25">
      <c r="A1324" s="9"/>
      <c r="C1324" s="14"/>
      <c r="E1324" t="str">
        <f>IF(ISNA(VLOOKUP(C1324,P:Q,2,0)),"",VLOOKUP(C1324,P:Q,2,0))</f>
        <v/>
      </c>
      <c r="F1324" s="15" t="str">
        <f>IF(ISNA(VLOOKUP(C1324,P:R,3,0)),"",VLOOKUP(C1324,P:R,3,0))</f>
        <v/>
      </c>
      <c r="G1324">
        <f>ROUND(IF(D1324&gt;0,0,ABS(D1324)),2)</f>
        <v>0</v>
      </c>
      <c r="H1324">
        <f>ROUND(IF(D1324&gt;0,D1324,),2)</f>
        <v>0</v>
      </c>
      <c r="K1324" s="7"/>
      <c r="N1324" s="7"/>
      <c r="P1324" s="8"/>
      <c r="Q1324" s="5"/>
      <c r="R1324" s="5"/>
      <c r="AF1324" s="14"/>
    </row>
    <row r="1325" spans="1:32" customFormat="1" x14ac:dyDescent="0.25">
      <c r="A1325" s="9"/>
      <c r="C1325" s="14"/>
      <c r="E1325" t="str">
        <f>IF(ISNA(VLOOKUP(C1325,P:Q,2,0)),"",VLOOKUP(C1325,P:Q,2,0))</f>
        <v/>
      </c>
      <c r="F1325" s="15" t="str">
        <f>IF(ISNA(VLOOKUP(C1325,P:R,3,0)),"",VLOOKUP(C1325,P:R,3,0))</f>
        <v/>
      </c>
      <c r="G1325">
        <f>ROUND(IF(D1325&gt;0,0,ABS(D1325)),2)</f>
        <v>0</v>
      </c>
      <c r="H1325">
        <f>ROUND(IF(D1325&gt;0,D1325,),2)</f>
        <v>0</v>
      </c>
      <c r="K1325" s="7"/>
      <c r="N1325" s="7"/>
      <c r="P1325" s="8"/>
      <c r="Q1325" s="5"/>
      <c r="R1325" s="5"/>
      <c r="AF1325" s="14"/>
    </row>
    <row r="1326" spans="1:32" customFormat="1" x14ac:dyDescent="0.25">
      <c r="A1326" s="9"/>
      <c r="C1326" s="14"/>
      <c r="E1326" t="str">
        <f>IF(ISNA(VLOOKUP(C1326,P:Q,2,0)),"",VLOOKUP(C1326,P:Q,2,0))</f>
        <v/>
      </c>
      <c r="F1326" s="15" t="str">
        <f>IF(ISNA(VLOOKUP(C1326,P:R,3,0)),"",VLOOKUP(C1326,P:R,3,0))</f>
        <v/>
      </c>
      <c r="G1326">
        <f>ROUND(IF(D1326&gt;0,0,ABS(D1326)),2)</f>
        <v>0</v>
      </c>
      <c r="H1326">
        <f>ROUND(IF(D1326&gt;0,D1326,),2)</f>
        <v>0</v>
      </c>
      <c r="K1326" s="7"/>
      <c r="N1326" s="7"/>
      <c r="P1326" s="8"/>
      <c r="Q1326" s="5"/>
      <c r="R1326" s="5"/>
      <c r="AF1326" s="14"/>
    </row>
    <row r="1327" spans="1:32" customFormat="1" x14ac:dyDescent="0.25">
      <c r="A1327" s="9"/>
      <c r="C1327" s="14"/>
      <c r="E1327" t="str">
        <f>IF(ISNA(VLOOKUP(C1327,P:Q,2,0)),"",VLOOKUP(C1327,P:Q,2,0))</f>
        <v/>
      </c>
      <c r="F1327" s="15" t="str">
        <f>IF(ISNA(VLOOKUP(C1327,P:R,3,0)),"",VLOOKUP(C1327,P:R,3,0))</f>
        <v/>
      </c>
      <c r="G1327">
        <f>ROUND(IF(D1327&gt;0,0,ABS(D1327)),2)</f>
        <v>0</v>
      </c>
      <c r="H1327">
        <f>ROUND(IF(D1327&gt;0,D1327,),2)</f>
        <v>0</v>
      </c>
      <c r="K1327" s="7"/>
      <c r="N1327" s="7"/>
      <c r="P1327" s="8"/>
      <c r="Q1327" s="5"/>
      <c r="R1327" s="5"/>
      <c r="AF1327" s="14"/>
    </row>
    <row r="1328" spans="1:32" customFormat="1" x14ac:dyDescent="0.25">
      <c r="A1328" s="9"/>
      <c r="C1328" s="14"/>
      <c r="E1328" t="str">
        <f>IF(ISNA(VLOOKUP(C1328,P:Q,2,0)),"",VLOOKUP(C1328,P:Q,2,0))</f>
        <v/>
      </c>
      <c r="F1328" s="15" t="str">
        <f>IF(ISNA(VLOOKUP(C1328,P:R,3,0)),"",VLOOKUP(C1328,P:R,3,0))</f>
        <v/>
      </c>
      <c r="G1328">
        <f>ROUND(IF(D1328&gt;0,0,ABS(D1328)),2)</f>
        <v>0</v>
      </c>
      <c r="H1328">
        <f>ROUND(IF(D1328&gt;0,D1328,),2)</f>
        <v>0</v>
      </c>
      <c r="K1328" s="7"/>
      <c r="N1328" s="7"/>
      <c r="P1328" s="8"/>
      <c r="Q1328" s="5"/>
      <c r="R1328" s="5"/>
      <c r="AF1328" s="14"/>
    </row>
    <row r="1329" spans="1:32" customFormat="1" x14ac:dyDescent="0.25">
      <c r="A1329" s="9"/>
      <c r="C1329" s="14"/>
      <c r="E1329" t="str">
        <f>IF(ISNA(VLOOKUP(C1329,P:Q,2,0)),"",VLOOKUP(C1329,P:Q,2,0))</f>
        <v/>
      </c>
      <c r="F1329" s="15" t="str">
        <f>IF(ISNA(VLOOKUP(C1329,P:R,3,0)),"",VLOOKUP(C1329,P:R,3,0))</f>
        <v/>
      </c>
      <c r="G1329">
        <f>ROUND(IF(D1329&gt;0,0,ABS(D1329)),2)</f>
        <v>0</v>
      </c>
      <c r="H1329">
        <f>ROUND(IF(D1329&gt;0,D1329,),2)</f>
        <v>0</v>
      </c>
      <c r="K1329" s="7"/>
      <c r="N1329" s="7"/>
      <c r="P1329" s="8"/>
      <c r="Q1329" s="5"/>
      <c r="R1329" s="5"/>
      <c r="AF1329" s="14"/>
    </row>
    <row r="1330" spans="1:32" customFormat="1" x14ac:dyDescent="0.25">
      <c r="A1330" s="9"/>
      <c r="C1330" s="14"/>
      <c r="E1330" t="str">
        <f>IF(ISNA(VLOOKUP(C1330,P:Q,2,0)),"",VLOOKUP(C1330,P:Q,2,0))</f>
        <v/>
      </c>
      <c r="F1330" s="15" t="str">
        <f>IF(ISNA(VLOOKUP(C1330,P:R,3,0)),"",VLOOKUP(C1330,P:R,3,0))</f>
        <v/>
      </c>
      <c r="G1330">
        <f>ROUND(IF(D1330&gt;0,0,ABS(D1330)),2)</f>
        <v>0</v>
      </c>
      <c r="H1330">
        <f>ROUND(IF(D1330&gt;0,D1330,),2)</f>
        <v>0</v>
      </c>
      <c r="K1330" s="7"/>
      <c r="N1330" s="7"/>
      <c r="P1330" s="8"/>
      <c r="Q1330" s="5"/>
      <c r="R1330" s="5"/>
      <c r="AF1330" s="14"/>
    </row>
    <row r="1331" spans="1:32" customFormat="1" x14ac:dyDescent="0.25">
      <c r="A1331" s="9"/>
      <c r="C1331" s="14"/>
      <c r="E1331" t="str">
        <f>IF(ISNA(VLOOKUP(C1331,P:Q,2,0)),"",VLOOKUP(C1331,P:Q,2,0))</f>
        <v/>
      </c>
      <c r="F1331" s="15" t="str">
        <f>IF(ISNA(VLOOKUP(C1331,P:R,3,0)),"",VLOOKUP(C1331,P:R,3,0))</f>
        <v/>
      </c>
      <c r="G1331">
        <f>ROUND(IF(D1331&gt;0,0,ABS(D1331)),2)</f>
        <v>0</v>
      </c>
      <c r="H1331">
        <f>ROUND(IF(D1331&gt;0,D1331,),2)</f>
        <v>0</v>
      </c>
      <c r="K1331" s="7"/>
      <c r="N1331" s="7"/>
      <c r="P1331" s="8"/>
      <c r="Q1331" s="5"/>
      <c r="R1331" s="5"/>
      <c r="AF1331" s="14"/>
    </row>
    <row r="1332" spans="1:32" customFormat="1" x14ac:dyDescent="0.25">
      <c r="A1332" s="9"/>
      <c r="C1332" s="14"/>
      <c r="E1332" t="str">
        <f>IF(ISNA(VLOOKUP(C1332,P:Q,2,0)),"",VLOOKUP(C1332,P:Q,2,0))</f>
        <v/>
      </c>
      <c r="F1332" s="15" t="str">
        <f>IF(ISNA(VLOOKUP(C1332,P:R,3,0)),"",VLOOKUP(C1332,P:R,3,0))</f>
        <v/>
      </c>
      <c r="G1332">
        <f>ROUND(IF(D1332&gt;0,0,ABS(D1332)),2)</f>
        <v>0</v>
      </c>
      <c r="H1332">
        <f>ROUND(IF(D1332&gt;0,D1332,),2)</f>
        <v>0</v>
      </c>
      <c r="K1332" s="7"/>
      <c r="N1332" s="7"/>
      <c r="P1332" s="8"/>
      <c r="Q1332" s="5"/>
      <c r="R1332" s="5"/>
      <c r="AF1332" s="14"/>
    </row>
    <row r="1333" spans="1:32" customFormat="1" x14ac:dyDescent="0.25">
      <c r="A1333" s="9"/>
      <c r="C1333" s="14"/>
      <c r="E1333" t="str">
        <f>IF(ISNA(VLOOKUP(C1333,P:Q,2,0)),"",VLOOKUP(C1333,P:Q,2,0))</f>
        <v/>
      </c>
      <c r="F1333" s="15" t="str">
        <f>IF(ISNA(VLOOKUP(C1333,P:R,3,0)),"",VLOOKUP(C1333,P:R,3,0))</f>
        <v/>
      </c>
      <c r="G1333">
        <f>ROUND(IF(D1333&gt;0,0,ABS(D1333)),2)</f>
        <v>0</v>
      </c>
      <c r="H1333">
        <f>ROUND(IF(D1333&gt;0,D1333,),2)</f>
        <v>0</v>
      </c>
      <c r="K1333" s="7"/>
      <c r="N1333" s="7"/>
      <c r="P1333" s="8"/>
      <c r="Q1333" s="5"/>
      <c r="R1333" s="5"/>
      <c r="AF1333" s="14"/>
    </row>
    <row r="1334" spans="1:32" customFormat="1" x14ac:dyDescent="0.25">
      <c r="A1334" s="9"/>
      <c r="C1334" s="14"/>
      <c r="E1334" t="str">
        <f>IF(ISNA(VLOOKUP(C1334,P:Q,2,0)),"",VLOOKUP(C1334,P:Q,2,0))</f>
        <v/>
      </c>
      <c r="F1334" s="15" t="str">
        <f>IF(ISNA(VLOOKUP(C1334,P:R,3,0)),"",VLOOKUP(C1334,P:R,3,0))</f>
        <v/>
      </c>
      <c r="G1334">
        <f>ROUND(IF(D1334&gt;0,0,ABS(D1334)),2)</f>
        <v>0</v>
      </c>
      <c r="H1334">
        <f>ROUND(IF(D1334&gt;0,D1334,),2)</f>
        <v>0</v>
      </c>
      <c r="K1334" s="7"/>
      <c r="N1334" s="7"/>
      <c r="P1334" s="8"/>
      <c r="Q1334" s="5"/>
      <c r="R1334" s="5"/>
      <c r="AF1334" s="14"/>
    </row>
    <row r="1335" spans="1:32" customFormat="1" x14ac:dyDescent="0.25">
      <c r="A1335" s="9"/>
      <c r="C1335" s="14"/>
      <c r="E1335" t="str">
        <f>IF(ISNA(VLOOKUP(C1335,P:Q,2,0)),"",VLOOKUP(C1335,P:Q,2,0))</f>
        <v/>
      </c>
      <c r="F1335" s="15" t="str">
        <f>IF(ISNA(VLOOKUP(C1335,P:R,3,0)),"",VLOOKUP(C1335,P:R,3,0))</f>
        <v/>
      </c>
      <c r="G1335">
        <f>ROUND(IF(D1335&gt;0,0,ABS(D1335)),2)</f>
        <v>0</v>
      </c>
      <c r="H1335">
        <f>ROUND(IF(D1335&gt;0,D1335,),2)</f>
        <v>0</v>
      </c>
      <c r="K1335" s="7"/>
      <c r="N1335" s="7"/>
      <c r="P1335" s="8"/>
      <c r="Q1335" s="5"/>
      <c r="R1335" s="5"/>
      <c r="AF1335" s="14"/>
    </row>
    <row r="1336" spans="1:32" customFormat="1" x14ac:dyDescent="0.25">
      <c r="A1336" s="9"/>
      <c r="C1336" s="14"/>
      <c r="E1336" t="str">
        <f>IF(ISNA(VLOOKUP(C1336,P:Q,2,0)),"",VLOOKUP(C1336,P:Q,2,0))</f>
        <v/>
      </c>
      <c r="F1336" s="15" t="str">
        <f>IF(ISNA(VLOOKUP(C1336,P:R,3,0)),"",VLOOKUP(C1336,P:R,3,0))</f>
        <v/>
      </c>
      <c r="G1336">
        <f>ROUND(IF(D1336&gt;0,0,ABS(D1336)),2)</f>
        <v>0</v>
      </c>
      <c r="H1336">
        <f>ROUND(IF(D1336&gt;0,D1336,),2)</f>
        <v>0</v>
      </c>
      <c r="K1336" s="7"/>
      <c r="N1336" s="7"/>
      <c r="P1336" s="8"/>
      <c r="Q1336" s="5"/>
      <c r="R1336" s="5"/>
      <c r="AF1336" s="14"/>
    </row>
    <row r="1337" spans="1:32" customFormat="1" x14ac:dyDescent="0.25">
      <c r="A1337" s="9"/>
      <c r="C1337" s="14"/>
      <c r="E1337" t="str">
        <f>IF(ISNA(VLOOKUP(C1337,P:Q,2,0)),"",VLOOKUP(C1337,P:Q,2,0))</f>
        <v/>
      </c>
      <c r="F1337" s="15" t="str">
        <f>IF(ISNA(VLOOKUP(C1337,P:R,3,0)),"",VLOOKUP(C1337,P:R,3,0))</f>
        <v/>
      </c>
      <c r="G1337">
        <f>ROUND(IF(D1337&gt;0,0,ABS(D1337)),2)</f>
        <v>0</v>
      </c>
      <c r="H1337">
        <f>ROUND(IF(D1337&gt;0,D1337,),2)</f>
        <v>0</v>
      </c>
      <c r="K1337" s="7"/>
      <c r="N1337" s="7"/>
      <c r="P1337" s="8"/>
      <c r="Q1337" s="5"/>
      <c r="R1337" s="5"/>
      <c r="AF1337" s="14"/>
    </row>
    <row r="1338" spans="1:32" customFormat="1" x14ac:dyDescent="0.25">
      <c r="A1338" s="9"/>
      <c r="C1338" s="14"/>
      <c r="E1338" t="str">
        <f>IF(ISNA(VLOOKUP(C1338,P:Q,2,0)),"",VLOOKUP(C1338,P:Q,2,0))</f>
        <v/>
      </c>
      <c r="F1338" s="15" t="str">
        <f>IF(ISNA(VLOOKUP(C1338,P:R,3,0)),"",VLOOKUP(C1338,P:R,3,0))</f>
        <v/>
      </c>
      <c r="G1338">
        <f>ROUND(IF(D1338&gt;0,0,ABS(D1338)),2)</f>
        <v>0</v>
      </c>
      <c r="H1338">
        <f>ROUND(IF(D1338&gt;0,D1338,),2)</f>
        <v>0</v>
      </c>
      <c r="K1338" s="7"/>
      <c r="N1338" s="7"/>
      <c r="P1338" s="8"/>
      <c r="Q1338" s="5"/>
      <c r="R1338" s="5"/>
      <c r="AF1338" s="14"/>
    </row>
    <row r="1339" spans="1:32" customFormat="1" x14ac:dyDescent="0.25">
      <c r="A1339" s="9"/>
      <c r="C1339" s="14"/>
      <c r="E1339" t="str">
        <f>IF(ISNA(VLOOKUP(C1339,P:Q,2,0)),"",VLOOKUP(C1339,P:Q,2,0))</f>
        <v/>
      </c>
      <c r="F1339" s="15" t="str">
        <f>IF(ISNA(VLOOKUP(C1339,P:R,3,0)),"",VLOOKUP(C1339,P:R,3,0))</f>
        <v/>
      </c>
      <c r="G1339">
        <f>ROUND(IF(D1339&gt;0,0,ABS(D1339)),2)</f>
        <v>0</v>
      </c>
      <c r="H1339">
        <f>ROUND(IF(D1339&gt;0,D1339,),2)</f>
        <v>0</v>
      </c>
      <c r="K1339" s="7"/>
      <c r="N1339" s="7"/>
      <c r="P1339" s="8"/>
      <c r="Q1339" s="5"/>
      <c r="R1339" s="5"/>
      <c r="AF1339" s="14"/>
    </row>
    <row r="1340" spans="1:32" customFormat="1" x14ac:dyDescent="0.25">
      <c r="A1340" s="9"/>
      <c r="C1340" s="14"/>
      <c r="E1340" t="str">
        <f>IF(ISNA(VLOOKUP(C1340,P:Q,2,0)),"",VLOOKUP(C1340,P:Q,2,0))</f>
        <v/>
      </c>
      <c r="F1340" s="15" t="str">
        <f>IF(ISNA(VLOOKUP(C1340,P:R,3,0)),"",VLOOKUP(C1340,P:R,3,0))</f>
        <v/>
      </c>
      <c r="G1340">
        <f>ROUND(IF(D1340&gt;0,0,ABS(D1340)),2)</f>
        <v>0</v>
      </c>
      <c r="H1340">
        <f>ROUND(IF(D1340&gt;0,D1340,),2)</f>
        <v>0</v>
      </c>
      <c r="K1340" s="7"/>
      <c r="N1340" s="7"/>
      <c r="P1340" s="8"/>
      <c r="Q1340" s="5"/>
      <c r="R1340" s="5"/>
      <c r="AF1340" s="14"/>
    </row>
    <row r="1341" spans="1:32" customFormat="1" x14ac:dyDescent="0.25">
      <c r="A1341" s="9"/>
      <c r="C1341" s="14"/>
      <c r="E1341" t="str">
        <f>IF(ISNA(VLOOKUP(C1341,P:Q,2,0)),"",VLOOKUP(C1341,P:Q,2,0))</f>
        <v/>
      </c>
      <c r="F1341" s="15" t="str">
        <f>IF(ISNA(VLOOKUP(C1341,P:R,3,0)),"",VLOOKUP(C1341,P:R,3,0))</f>
        <v/>
      </c>
      <c r="G1341">
        <f>ROUND(IF(D1341&gt;0,0,ABS(D1341)),2)</f>
        <v>0</v>
      </c>
      <c r="H1341">
        <f>ROUND(IF(D1341&gt;0,D1341,),2)</f>
        <v>0</v>
      </c>
      <c r="K1341" s="7"/>
      <c r="N1341" s="7"/>
      <c r="P1341" s="8"/>
      <c r="Q1341" s="5"/>
      <c r="R1341" s="5"/>
      <c r="AF1341" s="14"/>
    </row>
    <row r="1342" spans="1:32" customFormat="1" x14ac:dyDescent="0.25">
      <c r="A1342" s="9"/>
      <c r="C1342" s="14"/>
      <c r="E1342" t="str">
        <f>IF(ISNA(VLOOKUP(C1342,P:Q,2,0)),"",VLOOKUP(C1342,P:Q,2,0))</f>
        <v/>
      </c>
      <c r="F1342" s="15" t="str">
        <f>IF(ISNA(VLOOKUP(C1342,P:R,3,0)),"",VLOOKUP(C1342,P:R,3,0))</f>
        <v/>
      </c>
      <c r="G1342">
        <f>ROUND(IF(D1342&gt;0,0,ABS(D1342)),2)</f>
        <v>0</v>
      </c>
      <c r="H1342">
        <f>ROUND(IF(D1342&gt;0,D1342,),2)</f>
        <v>0</v>
      </c>
      <c r="K1342" s="7"/>
      <c r="N1342" s="7"/>
      <c r="P1342" s="8"/>
      <c r="Q1342" s="5"/>
      <c r="R1342" s="5"/>
      <c r="AF1342" s="14"/>
    </row>
    <row r="1343" spans="1:32" customFormat="1" x14ac:dyDescent="0.25">
      <c r="A1343" s="9"/>
      <c r="C1343" s="14"/>
      <c r="E1343" t="str">
        <f>IF(ISNA(VLOOKUP(C1343,P:Q,2,0)),"",VLOOKUP(C1343,P:Q,2,0))</f>
        <v/>
      </c>
      <c r="F1343" s="15" t="str">
        <f>IF(ISNA(VLOOKUP(C1343,P:R,3,0)),"",VLOOKUP(C1343,P:R,3,0))</f>
        <v/>
      </c>
      <c r="G1343">
        <f>ROUND(IF(D1343&gt;0,0,ABS(D1343)),2)</f>
        <v>0</v>
      </c>
      <c r="H1343">
        <f>ROUND(IF(D1343&gt;0,D1343,),2)</f>
        <v>0</v>
      </c>
      <c r="K1343" s="7"/>
      <c r="N1343" s="7"/>
      <c r="P1343" s="8"/>
      <c r="Q1343" s="5"/>
      <c r="R1343" s="5"/>
      <c r="AF1343" s="14"/>
    </row>
    <row r="1344" spans="1:32" customFormat="1" x14ac:dyDescent="0.25">
      <c r="A1344" s="9"/>
      <c r="C1344" s="14"/>
      <c r="E1344" t="str">
        <f>IF(ISNA(VLOOKUP(C1344,P:Q,2,0)),"",VLOOKUP(C1344,P:Q,2,0))</f>
        <v/>
      </c>
      <c r="F1344" s="15" t="str">
        <f>IF(ISNA(VLOOKUP(C1344,P:R,3,0)),"",VLOOKUP(C1344,P:R,3,0))</f>
        <v/>
      </c>
      <c r="G1344">
        <f>ROUND(IF(D1344&gt;0,0,ABS(D1344)),2)</f>
        <v>0</v>
      </c>
      <c r="H1344">
        <f>ROUND(IF(D1344&gt;0,D1344,),2)</f>
        <v>0</v>
      </c>
      <c r="K1344" s="7"/>
      <c r="N1344" s="7"/>
      <c r="P1344" s="8"/>
      <c r="Q1344" s="5"/>
      <c r="R1344" s="5"/>
      <c r="AF1344" s="14"/>
    </row>
    <row r="1345" spans="1:32" customFormat="1" x14ac:dyDescent="0.25">
      <c r="A1345" s="9"/>
      <c r="C1345" s="14"/>
      <c r="E1345" t="str">
        <f>IF(ISNA(VLOOKUP(C1345,P:Q,2,0)),"",VLOOKUP(C1345,P:Q,2,0))</f>
        <v/>
      </c>
      <c r="F1345" s="15" t="str">
        <f>IF(ISNA(VLOOKUP(C1345,P:R,3,0)),"",VLOOKUP(C1345,P:R,3,0))</f>
        <v/>
      </c>
      <c r="G1345">
        <f>ROUND(IF(D1345&gt;0,0,ABS(D1345)),2)</f>
        <v>0</v>
      </c>
      <c r="H1345">
        <f>ROUND(IF(D1345&gt;0,D1345,),2)</f>
        <v>0</v>
      </c>
      <c r="K1345" s="7"/>
      <c r="N1345" s="7"/>
      <c r="P1345" s="8"/>
      <c r="Q1345" s="5"/>
      <c r="R1345" s="5"/>
      <c r="AF1345" s="14"/>
    </row>
    <row r="1346" spans="1:32" customFormat="1" x14ac:dyDescent="0.25">
      <c r="A1346" s="9"/>
      <c r="C1346" s="14"/>
      <c r="E1346" t="str">
        <f>IF(ISNA(VLOOKUP(C1346,P:Q,2,0)),"",VLOOKUP(C1346,P:Q,2,0))</f>
        <v/>
      </c>
      <c r="F1346" s="15" t="str">
        <f>IF(ISNA(VLOOKUP(C1346,P:R,3,0)),"",VLOOKUP(C1346,P:R,3,0))</f>
        <v/>
      </c>
      <c r="G1346">
        <f>ROUND(IF(D1346&gt;0,0,ABS(D1346)),2)</f>
        <v>0</v>
      </c>
      <c r="H1346">
        <f>ROUND(IF(D1346&gt;0,D1346,),2)</f>
        <v>0</v>
      </c>
      <c r="K1346" s="7"/>
      <c r="N1346" s="7"/>
      <c r="P1346" s="8"/>
      <c r="Q1346" s="5"/>
      <c r="R1346" s="5"/>
      <c r="AF1346" s="14"/>
    </row>
    <row r="1347" spans="1:32" customFormat="1" x14ac:dyDescent="0.25">
      <c r="A1347" s="9"/>
      <c r="C1347" s="14"/>
      <c r="E1347" t="str">
        <f>IF(ISNA(VLOOKUP(C1347,P:Q,2,0)),"",VLOOKUP(C1347,P:Q,2,0))</f>
        <v/>
      </c>
      <c r="F1347" s="15" t="str">
        <f>IF(ISNA(VLOOKUP(C1347,P:R,3,0)),"",VLOOKUP(C1347,P:R,3,0))</f>
        <v/>
      </c>
      <c r="G1347">
        <f>ROUND(IF(D1347&gt;0,0,ABS(D1347)),2)</f>
        <v>0</v>
      </c>
      <c r="H1347">
        <f>ROUND(IF(D1347&gt;0,D1347,),2)</f>
        <v>0</v>
      </c>
      <c r="K1347" s="7"/>
      <c r="N1347" s="7"/>
      <c r="P1347" s="8"/>
      <c r="Q1347" s="5"/>
      <c r="R1347" s="5"/>
      <c r="AF1347" s="14"/>
    </row>
    <row r="1348" spans="1:32" customFormat="1" x14ac:dyDescent="0.25">
      <c r="A1348" s="9"/>
      <c r="C1348" s="14"/>
      <c r="E1348" t="str">
        <f>IF(ISNA(VLOOKUP(C1348,P:Q,2,0)),"",VLOOKUP(C1348,P:Q,2,0))</f>
        <v/>
      </c>
      <c r="F1348" s="15" t="str">
        <f>IF(ISNA(VLOOKUP(C1348,P:R,3,0)),"",VLOOKUP(C1348,P:R,3,0))</f>
        <v/>
      </c>
      <c r="G1348">
        <f>ROUND(IF(D1348&gt;0,0,ABS(D1348)),2)</f>
        <v>0</v>
      </c>
      <c r="H1348">
        <f>ROUND(IF(D1348&gt;0,D1348,),2)</f>
        <v>0</v>
      </c>
      <c r="K1348" s="7"/>
      <c r="N1348" s="7"/>
      <c r="P1348" s="8"/>
      <c r="Q1348" s="5"/>
      <c r="R1348" s="5"/>
      <c r="AF1348" s="14"/>
    </row>
    <row r="1349" spans="1:32" customFormat="1" x14ac:dyDescent="0.25">
      <c r="A1349" s="9"/>
      <c r="C1349" s="14"/>
      <c r="E1349" t="str">
        <f>IF(ISNA(VLOOKUP(C1349,P:Q,2,0)),"",VLOOKUP(C1349,P:Q,2,0))</f>
        <v/>
      </c>
      <c r="F1349" s="15" t="str">
        <f>IF(ISNA(VLOOKUP(C1349,P:R,3,0)),"",VLOOKUP(C1349,P:R,3,0))</f>
        <v/>
      </c>
      <c r="G1349">
        <f>ROUND(IF(D1349&gt;0,0,ABS(D1349)),2)</f>
        <v>0</v>
      </c>
      <c r="H1349">
        <f>ROUND(IF(D1349&gt;0,D1349,),2)</f>
        <v>0</v>
      </c>
      <c r="K1349" s="7"/>
      <c r="N1349" s="7"/>
      <c r="P1349" s="8"/>
      <c r="Q1349" s="5"/>
      <c r="R1349" s="5"/>
      <c r="AF1349" s="14"/>
    </row>
    <row r="1350" spans="1:32" customFormat="1" x14ac:dyDescent="0.25">
      <c r="A1350" s="9"/>
      <c r="C1350" s="14"/>
      <c r="E1350" t="str">
        <f>IF(ISNA(VLOOKUP(C1350,P:Q,2,0)),"",VLOOKUP(C1350,P:Q,2,0))</f>
        <v/>
      </c>
      <c r="F1350" s="15" t="str">
        <f>IF(ISNA(VLOOKUP(C1350,P:R,3,0)),"",VLOOKUP(C1350,P:R,3,0))</f>
        <v/>
      </c>
      <c r="G1350">
        <f>ROUND(IF(D1350&gt;0,0,ABS(D1350)),2)</f>
        <v>0</v>
      </c>
      <c r="H1350">
        <f>ROUND(IF(D1350&gt;0,D1350,),2)</f>
        <v>0</v>
      </c>
      <c r="K1350" s="7"/>
      <c r="N1350" s="7"/>
      <c r="P1350" s="8"/>
      <c r="Q1350" s="5"/>
      <c r="R1350" s="5"/>
      <c r="AF1350" s="14"/>
    </row>
    <row r="1351" spans="1:32" customFormat="1" x14ac:dyDescent="0.25">
      <c r="A1351" s="9"/>
      <c r="C1351" s="14"/>
      <c r="E1351" t="str">
        <f>IF(ISNA(VLOOKUP(C1351,P:Q,2,0)),"",VLOOKUP(C1351,P:Q,2,0))</f>
        <v/>
      </c>
      <c r="F1351" s="15" t="str">
        <f>IF(ISNA(VLOOKUP(C1351,P:R,3,0)),"",VLOOKUP(C1351,P:R,3,0))</f>
        <v/>
      </c>
      <c r="G1351">
        <f>ROUND(IF(D1351&gt;0,0,ABS(D1351)),2)</f>
        <v>0</v>
      </c>
      <c r="H1351">
        <f>ROUND(IF(D1351&gt;0,D1351,),2)</f>
        <v>0</v>
      </c>
      <c r="K1351" s="7"/>
      <c r="N1351" s="7"/>
      <c r="P1351" s="8"/>
      <c r="Q1351" s="5"/>
      <c r="R1351" s="5"/>
      <c r="AF1351" s="14"/>
    </row>
    <row r="1352" spans="1:32" customFormat="1" x14ac:dyDescent="0.25">
      <c r="A1352" s="9"/>
      <c r="C1352" s="14"/>
      <c r="E1352" t="str">
        <f>IF(ISNA(VLOOKUP(C1352,P:Q,2,0)),"",VLOOKUP(C1352,P:Q,2,0))</f>
        <v/>
      </c>
      <c r="F1352" s="15" t="str">
        <f>IF(ISNA(VLOOKUP(C1352,P:R,3,0)),"",VLOOKUP(C1352,P:R,3,0))</f>
        <v/>
      </c>
      <c r="G1352">
        <f>ROUND(IF(D1352&gt;0,0,ABS(D1352)),2)</f>
        <v>0</v>
      </c>
      <c r="H1352">
        <f>ROUND(IF(D1352&gt;0,D1352,),2)</f>
        <v>0</v>
      </c>
      <c r="K1352" s="7"/>
      <c r="N1352" s="7"/>
      <c r="P1352" s="8"/>
      <c r="Q1352" s="5"/>
      <c r="R1352" s="5"/>
      <c r="AF1352" s="14"/>
    </row>
    <row r="1353" spans="1:32" customFormat="1" x14ac:dyDescent="0.25">
      <c r="A1353" s="9"/>
      <c r="C1353" s="14"/>
      <c r="E1353" t="str">
        <f>IF(ISNA(VLOOKUP(C1353,P:Q,2,0)),"",VLOOKUP(C1353,P:Q,2,0))</f>
        <v/>
      </c>
      <c r="F1353" s="15" t="str">
        <f>IF(ISNA(VLOOKUP(C1353,P:R,3,0)),"",VLOOKUP(C1353,P:R,3,0))</f>
        <v/>
      </c>
      <c r="G1353">
        <f>ROUND(IF(D1353&gt;0,0,ABS(D1353)),2)</f>
        <v>0</v>
      </c>
      <c r="H1353">
        <f>ROUND(IF(D1353&gt;0,D1353,),2)</f>
        <v>0</v>
      </c>
      <c r="K1353" s="7"/>
      <c r="N1353" s="7"/>
      <c r="P1353" s="8"/>
      <c r="Q1353" s="5"/>
      <c r="R1353" s="5"/>
      <c r="AF1353" s="14"/>
    </row>
    <row r="1354" spans="1:32" customFormat="1" x14ac:dyDescent="0.25">
      <c r="A1354" s="9"/>
      <c r="C1354" s="14"/>
      <c r="E1354" t="str">
        <f>IF(ISNA(VLOOKUP(C1354,P:Q,2,0)),"",VLOOKUP(C1354,P:Q,2,0))</f>
        <v/>
      </c>
      <c r="F1354" s="15" t="str">
        <f>IF(ISNA(VLOOKUP(C1354,P:R,3,0)),"",VLOOKUP(C1354,P:R,3,0))</f>
        <v/>
      </c>
      <c r="G1354">
        <f>ROUND(IF(D1354&gt;0,0,ABS(D1354)),2)</f>
        <v>0</v>
      </c>
      <c r="H1354">
        <f>ROUND(IF(D1354&gt;0,D1354,),2)</f>
        <v>0</v>
      </c>
      <c r="K1354" s="7"/>
      <c r="N1354" s="7"/>
      <c r="P1354" s="8"/>
      <c r="Q1354" s="5"/>
      <c r="R1354" s="5"/>
      <c r="AF1354" s="14"/>
    </row>
    <row r="1355" spans="1:32" customFormat="1" x14ac:dyDescent="0.25">
      <c r="A1355" s="9"/>
      <c r="C1355" s="14"/>
      <c r="E1355" t="str">
        <f>IF(ISNA(VLOOKUP(C1355,P:Q,2,0)),"",VLOOKUP(C1355,P:Q,2,0))</f>
        <v/>
      </c>
      <c r="F1355" s="15" t="str">
        <f>IF(ISNA(VLOOKUP(C1355,P:R,3,0)),"",VLOOKUP(C1355,P:R,3,0))</f>
        <v/>
      </c>
      <c r="G1355">
        <f>ROUND(IF(D1355&gt;0,0,ABS(D1355)),2)</f>
        <v>0</v>
      </c>
      <c r="H1355">
        <f>ROUND(IF(D1355&gt;0,D1355,),2)</f>
        <v>0</v>
      </c>
      <c r="K1355" s="7"/>
      <c r="N1355" s="7"/>
      <c r="P1355" s="8"/>
      <c r="Q1355" s="5"/>
      <c r="R1355" s="5"/>
      <c r="AF1355" s="14"/>
    </row>
    <row r="1356" spans="1:32" customFormat="1" x14ac:dyDescent="0.25">
      <c r="A1356" s="9"/>
      <c r="C1356" s="14"/>
      <c r="E1356" t="str">
        <f>IF(ISNA(VLOOKUP(C1356,P:Q,2,0)),"",VLOOKUP(C1356,P:Q,2,0))</f>
        <v/>
      </c>
      <c r="F1356" s="15" t="str">
        <f>IF(ISNA(VLOOKUP(C1356,P:R,3,0)),"",VLOOKUP(C1356,P:R,3,0))</f>
        <v/>
      </c>
      <c r="G1356">
        <f>ROUND(IF(D1356&gt;0,0,ABS(D1356)),2)</f>
        <v>0</v>
      </c>
      <c r="H1356">
        <f>ROUND(IF(D1356&gt;0,D1356,),2)</f>
        <v>0</v>
      </c>
      <c r="K1356" s="7"/>
      <c r="N1356" s="7"/>
      <c r="P1356" s="8"/>
      <c r="Q1356" s="5"/>
      <c r="R1356" s="5"/>
      <c r="AF1356" s="14"/>
    </row>
    <row r="1357" spans="1:32" customFormat="1" x14ac:dyDescent="0.25">
      <c r="A1357" s="9"/>
      <c r="C1357" s="14"/>
      <c r="E1357" t="str">
        <f>IF(ISNA(VLOOKUP(C1357,P:Q,2,0)),"",VLOOKUP(C1357,P:Q,2,0))</f>
        <v/>
      </c>
      <c r="F1357" s="15" t="str">
        <f>IF(ISNA(VLOOKUP(C1357,P:R,3,0)),"",VLOOKUP(C1357,P:R,3,0))</f>
        <v/>
      </c>
      <c r="G1357">
        <f>ROUND(IF(D1357&gt;0,0,ABS(D1357)),2)</f>
        <v>0</v>
      </c>
      <c r="H1357">
        <f>ROUND(IF(D1357&gt;0,D1357,),2)</f>
        <v>0</v>
      </c>
      <c r="K1357" s="7"/>
      <c r="N1357" s="7"/>
      <c r="P1357" s="8"/>
      <c r="Q1357" s="5"/>
      <c r="R1357" s="5"/>
      <c r="AF1357" s="14"/>
    </row>
    <row r="1358" spans="1:32" customFormat="1" x14ac:dyDescent="0.25">
      <c r="A1358" s="9"/>
      <c r="C1358" s="14"/>
      <c r="E1358" t="str">
        <f>IF(ISNA(VLOOKUP(C1358,P:Q,2,0)),"",VLOOKUP(C1358,P:Q,2,0))</f>
        <v/>
      </c>
      <c r="F1358" s="15" t="str">
        <f>IF(ISNA(VLOOKUP(C1358,P:R,3,0)),"",VLOOKUP(C1358,P:R,3,0))</f>
        <v/>
      </c>
      <c r="G1358">
        <f>ROUND(IF(D1358&gt;0,0,ABS(D1358)),2)</f>
        <v>0</v>
      </c>
      <c r="H1358">
        <f>ROUND(IF(D1358&gt;0,D1358,),2)</f>
        <v>0</v>
      </c>
      <c r="K1358" s="7"/>
      <c r="N1358" s="7"/>
      <c r="P1358" s="8"/>
      <c r="Q1358" s="5"/>
      <c r="R1358" s="5"/>
      <c r="AF1358" s="14"/>
    </row>
    <row r="1359" spans="1:32" customFormat="1" x14ac:dyDescent="0.25">
      <c r="A1359" s="9"/>
      <c r="C1359" s="14"/>
      <c r="E1359" t="str">
        <f>IF(ISNA(VLOOKUP(C1359,P:Q,2,0)),"",VLOOKUP(C1359,P:Q,2,0))</f>
        <v/>
      </c>
      <c r="F1359" s="15" t="str">
        <f>IF(ISNA(VLOOKUP(C1359,P:R,3,0)),"",VLOOKUP(C1359,P:R,3,0))</f>
        <v/>
      </c>
      <c r="G1359">
        <f>ROUND(IF(D1359&gt;0,0,ABS(D1359)),2)</f>
        <v>0</v>
      </c>
      <c r="H1359">
        <f>ROUND(IF(D1359&gt;0,D1359,),2)</f>
        <v>0</v>
      </c>
      <c r="K1359" s="7"/>
      <c r="N1359" s="7"/>
      <c r="P1359" s="8"/>
      <c r="Q1359" s="5"/>
      <c r="R1359" s="5"/>
      <c r="AF1359" s="14"/>
    </row>
    <row r="1360" spans="1:32" customFormat="1" x14ac:dyDescent="0.25">
      <c r="A1360" s="9"/>
      <c r="C1360" s="14"/>
      <c r="E1360" t="str">
        <f>IF(ISNA(VLOOKUP(C1360,P:Q,2,0)),"",VLOOKUP(C1360,P:Q,2,0))</f>
        <v/>
      </c>
      <c r="F1360" s="15" t="str">
        <f>IF(ISNA(VLOOKUP(C1360,P:R,3,0)),"",VLOOKUP(C1360,P:R,3,0))</f>
        <v/>
      </c>
      <c r="G1360">
        <f>ROUND(IF(D1360&gt;0,0,ABS(D1360)),2)</f>
        <v>0</v>
      </c>
      <c r="H1360">
        <f>ROUND(IF(D1360&gt;0,D1360,),2)</f>
        <v>0</v>
      </c>
      <c r="K1360" s="7"/>
      <c r="N1360" s="7"/>
      <c r="P1360" s="8"/>
      <c r="Q1360" s="5"/>
      <c r="R1360" s="5"/>
      <c r="AF1360" s="14"/>
    </row>
    <row r="1361" spans="1:32" customFormat="1" x14ac:dyDescent="0.25">
      <c r="A1361" s="9"/>
      <c r="C1361" s="14"/>
      <c r="E1361" t="str">
        <f>IF(ISNA(VLOOKUP(C1361,P:Q,2,0)),"",VLOOKUP(C1361,P:Q,2,0))</f>
        <v/>
      </c>
      <c r="F1361" s="15" t="str">
        <f>IF(ISNA(VLOOKUP(C1361,P:R,3,0)),"",VLOOKUP(C1361,P:R,3,0))</f>
        <v/>
      </c>
      <c r="G1361">
        <f>ROUND(IF(D1361&gt;0,0,ABS(D1361)),2)</f>
        <v>0</v>
      </c>
      <c r="H1361">
        <f>ROUND(IF(D1361&gt;0,D1361,),2)</f>
        <v>0</v>
      </c>
      <c r="K1361" s="7"/>
      <c r="N1361" s="7"/>
      <c r="P1361" s="8"/>
      <c r="Q1361" s="5"/>
      <c r="R1361" s="5"/>
      <c r="AF1361" s="14"/>
    </row>
    <row r="1362" spans="1:32" customFormat="1" x14ac:dyDescent="0.25">
      <c r="A1362" s="9"/>
      <c r="C1362" s="14"/>
      <c r="E1362" t="str">
        <f>IF(ISNA(VLOOKUP(C1362,P:Q,2,0)),"",VLOOKUP(C1362,P:Q,2,0))</f>
        <v/>
      </c>
      <c r="F1362" s="15" t="str">
        <f>IF(ISNA(VLOOKUP(C1362,P:R,3,0)),"",VLOOKUP(C1362,P:R,3,0))</f>
        <v/>
      </c>
      <c r="G1362">
        <f>ROUND(IF(D1362&gt;0,0,ABS(D1362)),2)</f>
        <v>0</v>
      </c>
      <c r="H1362">
        <f>ROUND(IF(D1362&gt;0,D1362,),2)</f>
        <v>0</v>
      </c>
      <c r="K1362" s="7"/>
      <c r="N1362" s="7"/>
      <c r="P1362" s="8"/>
      <c r="Q1362" s="5"/>
      <c r="R1362" s="5"/>
      <c r="AF1362" s="14"/>
    </row>
    <row r="1363" spans="1:32" customFormat="1" x14ac:dyDescent="0.25">
      <c r="A1363" s="9"/>
      <c r="C1363" s="14"/>
      <c r="E1363" t="str">
        <f>IF(ISNA(VLOOKUP(C1363,P:Q,2,0)),"",VLOOKUP(C1363,P:Q,2,0))</f>
        <v/>
      </c>
      <c r="F1363" s="15" t="str">
        <f>IF(ISNA(VLOOKUP(C1363,P:R,3,0)),"",VLOOKUP(C1363,P:R,3,0))</f>
        <v/>
      </c>
      <c r="G1363">
        <f>ROUND(IF(D1363&gt;0,0,ABS(D1363)),2)</f>
        <v>0</v>
      </c>
      <c r="H1363">
        <f>ROUND(IF(D1363&gt;0,D1363,),2)</f>
        <v>0</v>
      </c>
      <c r="K1363" s="7"/>
      <c r="N1363" s="7"/>
      <c r="P1363" s="8"/>
      <c r="Q1363" s="5"/>
      <c r="R1363" s="5"/>
      <c r="AF1363" s="14"/>
    </row>
    <row r="1364" spans="1:32" customFormat="1" x14ac:dyDescent="0.25">
      <c r="A1364" s="9"/>
      <c r="C1364" s="14"/>
      <c r="E1364" t="str">
        <f>IF(ISNA(VLOOKUP(C1364,P:Q,2,0)),"",VLOOKUP(C1364,P:Q,2,0))</f>
        <v/>
      </c>
      <c r="F1364" s="15" t="str">
        <f>IF(ISNA(VLOOKUP(C1364,P:R,3,0)),"",VLOOKUP(C1364,P:R,3,0))</f>
        <v/>
      </c>
      <c r="G1364">
        <f>ROUND(IF(D1364&gt;0,0,ABS(D1364)),2)</f>
        <v>0</v>
      </c>
      <c r="H1364">
        <f>ROUND(IF(D1364&gt;0,D1364,),2)</f>
        <v>0</v>
      </c>
      <c r="K1364" s="7"/>
      <c r="N1364" s="7"/>
      <c r="P1364" s="8"/>
      <c r="Q1364" s="5"/>
      <c r="R1364" s="5"/>
      <c r="AF1364" s="14"/>
    </row>
    <row r="1365" spans="1:32" customFormat="1" x14ac:dyDescent="0.25">
      <c r="A1365" s="9"/>
      <c r="C1365" s="14"/>
      <c r="E1365" t="str">
        <f>IF(ISNA(VLOOKUP(C1365,P:Q,2,0)),"",VLOOKUP(C1365,P:Q,2,0))</f>
        <v/>
      </c>
      <c r="F1365" s="15" t="str">
        <f>IF(ISNA(VLOOKUP(C1365,P:R,3,0)),"",VLOOKUP(C1365,P:R,3,0))</f>
        <v/>
      </c>
      <c r="G1365">
        <f>ROUND(IF(D1365&gt;0,0,ABS(D1365)),2)</f>
        <v>0</v>
      </c>
      <c r="H1365">
        <f>ROUND(IF(D1365&gt;0,D1365,),2)</f>
        <v>0</v>
      </c>
      <c r="K1365" s="7"/>
      <c r="N1365" s="7"/>
      <c r="P1365" s="8"/>
      <c r="Q1365" s="5"/>
      <c r="R1365" s="5"/>
      <c r="AF1365" s="14"/>
    </row>
    <row r="1366" spans="1:32" customFormat="1" x14ac:dyDescent="0.25">
      <c r="A1366" s="9"/>
      <c r="C1366" s="14"/>
      <c r="E1366" t="str">
        <f>IF(ISNA(VLOOKUP(C1366,P:Q,2,0)),"",VLOOKUP(C1366,P:Q,2,0))</f>
        <v/>
      </c>
      <c r="F1366" s="15" t="str">
        <f>IF(ISNA(VLOOKUP(C1366,P:R,3,0)),"",VLOOKUP(C1366,P:R,3,0))</f>
        <v/>
      </c>
      <c r="G1366">
        <f>ROUND(IF(D1366&gt;0,0,ABS(D1366)),2)</f>
        <v>0</v>
      </c>
      <c r="H1366">
        <f>ROUND(IF(D1366&gt;0,D1366,),2)</f>
        <v>0</v>
      </c>
      <c r="K1366" s="7"/>
      <c r="N1366" s="7"/>
      <c r="P1366" s="8"/>
      <c r="Q1366" s="5"/>
      <c r="R1366" s="5"/>
      <c r="AF1366" s="14"/>
    </row>
    <row r="1367" spans="1:32" customFormat="1" x14ac:dyDescent="0.25">
      <c r="A1367" s="9"/>
      <c r="C1367" s="14"/>
      <c r="E1367" t="str">
        <f>IF(ISNA(VLOOKUP(C1367,P:Q,2,0)),"",VLOOKUP(C1367,P:Q,2,0))</f>
        <v/>
      </c>
      <c r="F1367" s="15" t="str">
        <f>IF(ISNA(VLOOKUP(C1367,P:R,3,0)),"",VLOOKUP(C1367,P:R,3,0))</f>
        <v/>
      </c>
      <c r="G1367">
        <f>ROUND(IF(D1367&gt;0,0,ABS(D1367)),2)</f>
        <v>0</v>
      </c>
      <c r="H1367">
        <f>ROUND(IF(D1367&gt;0,D1367,),2)</f>
        <v>0</v>
      </c>
      <c r="K1367" s="7"/>
      <c r="N1367" s="7"/>
      <c r="P1367" s="8"/>
      <c r="Q1367" s="5"/>
      <c r="R1367" s="5"/>
      <c r="AF1367" s="14"/>
    </row>
    <row r="1368" spans="1:32" customFormat="1" x14ac:dyDescent="0.25">
      <c r="A1368" s="9"/>
      <c r="C1368" s="14"/>
      <c r="E1368" t="str">
        <f>IF(ISNA(VLOOKUP(C1368,P:Q,2,0)),"",VLOOKUP(C1368,P:Q,2,0))</f>
        <v/>
      </c>
      <c r="F1368" s="15" t="str">
        <f>IF(ISNA(VLOOKUP(C1368,P:R,3,0)),"",VLOOKUP(C1368,P:R,3,0))</f>
        <v/>
      </c>
      <c r="G1368">
        <f>ROUND(IF(D1368&gt;0,0,ABS(D1368)),2)</f>
        <v>0</v>
      </c>
      <c r="H1368">
        <f>ROUND(IF(D1368&gt;0,D1368,),2)</f>
        <v>0</v>
      </c>
      <c r="K1368" s="7"/>
      <c r="N1368" s="7"/>
      <c r="P1368" s="8"/>
      <c r="Q1368" s="5"/>
      <c r="R1368" s="5"/>
      <c r="AF1368" s="14"/>
    </row>
    <row r="1369" spans="1:32" customFormat="1" x14ac:dyDescent="0.25">
      <c r="A1369" s="9"/>
      <c r="C1369" s="14"/>
      <c r="E1369" t="str">
        <f>IF(ISNA(VLOOKUP(C1369,P:Q,2,0)),"",VLOOKUP(C1369,P:Q,2,0))</f>
        <v/>
      </c>
      <c r="F1369" s="15" t="str">
        <f>IF(ISNA(VLOOKUP(C1369,P:R,3,0)),"",VLOOKUP(C1369,P:R,3,0))</f>
        <v/>
      </c>
      <c r="G1369">
        <f>ROUND(IF(D1369&gt;0,0,ABS(D1369)),2)</f>
        <v>0</v>
      </c>
      <c r="H1369">
        <f>ROUND(IF(D1369&gt;0,D1369,),2)</f>
        <v>0</v>
      </c>
      <c r="K1369" s="7"/>
      <c r="N1369" s="7"/>
      <c r="P1369" s="8"/>
      <c r="Q1369" s="5"/>
      <c r="R1369" s="5"/>
      <c r="AF1369" s="14"/>
    </row>
    <row r="1370" spans="1:32" customFormat="1" x14ac:dyDescent="0.25">
      <c r="A1370" s="9"/>
      <c r="C1370" s="14"/>
      <c r="E1370" t="str">
        <f>IF(ISNA(VLOOKUP(C1370,P:Q,2,0)),"",VLOOKUP(C1370,P:Q,2,0))</f>
        <v/>
      </c>
      <c r="F1370" s="15" t="str">
        <f>IF(ISNA(VLOOKUP(C1370,P:R,3,0)),"",VLOOKUP(C1370,P:R,3,0))</f>
        <v/>
      </c>
      <c r="G1370">
        <f>ROUND(IF(D1370&gt;0,0,ABS(D1370)),2)</f>
        <v>0</v>
      </c>
      <c r="H1370">
        <f>ROUND(IF(D1370&gt;0,D1370,),2)</f>
        <v>0</v>
      </c>
      <c r="K1370" s="7"/>
      <c r="N1370" s="7"/>
      <c r="P1370" s="8"/>
      <c r="Q1370" s="5"/>
      <c r="R1370" s="5"/>
      <c r="AF1370" s="14"/>
    </row>
    <row r="1371" spans="1:32" customFormat="1" x14ac:dyDescent="0.25">
      <c r="A1371" s="9"/>
      <c r="C1371" s="14"/>
      <c r="E1371" t="str">
        <f>IF(ISNA(VLOOKUP(C1371,P:Q,2,0)),"",VLOOKUP(C1371,P:Q,2,0))</f>
        <v/>
      </c>
      <c r="F1371" s="15" t="str">
        <f>IF(ISNA(VLOOKUP(C1371,P:R,3,0)),"",VLOOKUP(C1371,P:R,3,0))</f>
        <v/>
      </c>
      <c r="G1371">
        <f>ROUND(IF(D1371&gt;0,0,ABS(D1371)),2)</f>
        <v>0</v>
      </c>
      <c r="H1371">
        <f>ROUND(IF(D1371&gt;0,D1371,),2)</f>
        <v>0</v>
      </c>
      <c r="K1371" s="7"/>
      <c r="N1371" s="7"/>
      <c r="P1371" s="8"/>
      <c r="Q1371" s="5"/>
      <c r="R1371" s="5"/>
      <c r="AF1371" s="14"/>
    </row>
    <row r="1372" spans="1:32" customFormat="1" x14ac:dyDescent="0.25">
      <c r="A1372" s="9"/>
      <c r="C1372" s="14"/>
      <c r="E1372" t="str">
        <f>IF(ISNA(VLOOKUP(C1372,P:Q,2,0)),"",VLOOKUP(C1372,P:Q,2,0))</f>
        <v/>
      </c>
      <c r="F1372" s="15" t="str">
        <f>IF(ISNA(VLOOKUP(C1372,P:R,3,0)),"",VLOOKUP(C1372,P:R,3,0))</f>
        <v/>
      </c>
      <c r="G1372">
        <f>ROUND(IF(D1372&gt;0,0,ABS(D1372)),2)</f>
        <v>0</v>
      </c>
      <c r="H1372">
        <f>ROUND(IF(D1372&gt;0,D1372,),2)</f>
        <v>0</v>
      </c>
      <c r="K1372" s="7"/>
      <c r="N1372" s="7"/>
      <c r="P1372" s="8"/>
      <c r="Q1372" s="5"/>
      <c r="R1372" s="5"/>
      <c r="AF1372" s="14"/>
    </row>
    <row r="1373" spans="1:32" customFormat="1" x14ac:dyDescent="0.25">
      <c r="A1373" s="9"/>
      <c r="C1373" s="14"/>
      <c r="E1373" t="str">
        <f>IF(ISNA(VLOOKUP(C1373,P:Q,2,0)),"",VLOOKUP(C1373,P:Q,2,0))</f>
        <v/>
      </c>
      <c r="F1373" s="15" t="str">
        <f>IF(ISNA(VLOOKUP(C1373,P:R,3,0)),"",VLOOKUP(C1373,P:R,3,0))</f>
        <v/>
      </c>
      <c r="G1373">
        <f>ROUND(IF(D1373&gt;0,0,ABS(D1373)),2)</f>
        <v>0</v>
      </c>
      <c r="H1373">
        <f>ROUND(IF(D1373&gt;0,D1373,),2)</f>
        <v>0</v>
      </c>
      <c r="K1373" s="7"/>
      <c r="N1373" s="7"/>
      <c r="P1373" s="8"/>
      <c r="Q1373" s="5"/>
      <c r="R1373" s="5"/>
      <c r="AF1373" s="14"/>
    </row>
    <row r="1374" spans="1:32" customFormat="1" x14ac:dyDescent="0.25">
      <c r="A1374" s="9"/>
      <c r="C1374" s="14"/>
      <c r="E1374" t="str">
        <f>IF(ISNA(VLOOKUP(C1374,P:Q,2,0)),"",VLOOKUP(C1374,P:Q,2,0))</f>
        <v/>
      </c>
      <c r="F1374" s="15" t="str">
        <f>IF(ISNA(VLOOKUP(C1374,P:R,3,0)),"",VLOOKUP(C1374,P:R,3,0))</f>
        <v/>
      </c>
      <c r="G1374">
        <f>ROUND(IF(D1374&gt;0,0,ABS(D1374)),2)</f>
        <v>0</v>
      </c>
      <c r="H1374">
        <f>ROUND(IF(D1374&gt;0,D1374,),2)</f>
        <v>0</v>
      </c>
      <c r="K1374" s="7"/>
      <c r="N1374" s="7"/>
      <c r="P1374" s="8"/>
      <c r="Q1374" s="5"/>
      <c r="R1374" s="5"/>
      <c r="AF1374" s="14"/>
    </row>
    <row r="1375" spans="1:32" customFormat="1" x14ac:dyDescent="0.25">
      <c r="A1375" s="9"/>
      <c r="C1375" s="14"/>
      <c r="E1375" t="str">
        <f>IF(ISNA(VLOOKUP(C1375,P:Q,2,0)),"",VLOOKUP(C1375,P:Q,2,0))</f>
        <v/>
      </c>
      <c r="F1375" s="15" t="str">
        <f>IF(ISNA(VLOOKUP(C1375,P:R,3,0)),"",VLOOKUP(C1375,P:R,3,0))</f>
        <v/>
      </c>
      <c r="G1375">
        <f>ROUND(IF(D1375&gt;0,0,ABS(D1375)),2)</f>
        <v>0</v>
      </c>
      <c r="H1375">
        <f>ROUND(IF(D1375&gt;0,D1375,),2)</f>
        <v>0</v>
      </c>
      <c r="K1375" s="7"/>
      <c r="N1375" s="7"/>
      <c r="P1375" s="8"/>
      <c r="Q1375" s="5"/>
      <c r="R1375" s="5"/>
      <c r="AF1375" s="14"/>
    </row>
    <row r="1376" spans="1:32" customFormat="1" x14ac:dyDescent="0.25">
      <c r="A1376" s="9"/>
      <c r="C1376" s="14"/>
      <c r="E1376" t="str">
        <f>IF(ISNA(VLOOKUP(C1376,P:Q,2,0)),"",VLOOKUP(C1376,P:Q,2,0))</f>
        <v/>
      </c>
      <c r="F1376" s="15" t="str">
        <f>IF(ISNA(VLOOKUP(C1376,P:R,3,0)),"",VLOOKUP(C1376,P:R,3,0))</f>
        <v/>
      </c>
      <c r="G1376">
        <f>ROUND(IF(D1376&gt;0,0,ABS(D1376)),2)</f>
        <v>0</v>
      </c>
      <c r="H1376">
        <f>ROUND(IF(D1376&gt;0,D1376,),2)</f>
        <v>0</v>
      </c>
      <c r="K1376" s="7"/>
      <c r="N1376" s="7"/>
      <c r="P1376" s="8"/>
      <c r="Q1376" s="5"/>
      <c r="R1376" s="5"/>
      <c r="AF1376" s="14"/>
    </row>
    <row r="1377" spans="1:32" customFormat="1" x14ac:dyDescent="0.25">
      <c r="A1377" s="9"/>
      <c r="C1377" s="14"/>
      <c r="E1377" t="str">
        <f>IF(ISNA(VLOOKUP(C1377,P:Q,2,0)),"",VLOOKUP(C1377,P:Q,2,0))</f>
        <v/>
      </c>
      <c r="F1377" s="15" t="str">
        <f>IF(ISNA(VLOOKUP(C1377,P:R,3,0)),"",VLOOKUP(C1377,P:R,3,0))</f>
        <v/>
      </c>
      <c r="G1377">
        <f>ROUND(IF(D1377&gt;0,0,ABS(D1377)),2)</f>
        <v>0</v>
      </c>
      <c r="H1377">
        <f>ROUND(IF(D1377&gt;0,D1377,),2)</f>
        <v>0</v>
      </c>
      <c r="K1377" s="7"/>
      <c r="N1377" s="7"/>
      <c r="P1377" s="8"/>
      <c r="Q1377" s="5"/>
      <c r="R1377" s="5"/>
      <c r="AF1377" s="14"/>
    </row>
    <row r="1378" spans="1:32" customFormat="1" x14ac:dyDescent="0.25">
      <c r="A1378" s="9"/>
      <c r="C1378" s="14"/>
      <c r="E1378" t="str">
        <f>IF(ISNA(VLOOKUP(C1378,P:Q,2,0)),"",VLOOKUP(C1378,P:Q,2,0))</f>
        <v/>
      </c>
      <c r="F1378" s="15" t="str">
        <f>IF(ISNA(VLOOKUP(C1378,P:R,3,0)),"",VLOOKUP(C1378,P:R,3,0))</f>
        <v/>
      </c>
      <c r="G1378">
        <f>ROUND(IF(D1378&gt;0,0,ABS(D1378)),2)</f>
        <v>0</v>
      </c>
      <c r="H1378">
        <f>ROUND(IF(D1378&gt;0,D1378,),2)</f>
        <v>0</v>
      </c>
      <c r="K1378" s="7"/>
      <c r="N1378" s="7"/>
      <c r="P1378" s="8"/>
      <c r="Q1378" s="5"/>
      <c r="R1378" s="5"/>
      <c r="AF1378" s="14"/>
    </row>
    <row r="1379" spans="1:32" customFormat="1" x14ac:dyDescent="0.25">
      <c r="A1379" s="9"/>
      <c r="C1379" s="14"/>
      <c r="E1379" t="str">
        <f>IF(ISNA(VLOOKUP(C1379,P:Q,2,0)),"",VLOOKUP(C1379,P:Q,2,0))</f>
        <v/>
      </c>
      <c r="F1379" s="15" t="str">
        <f>IF(ISNA(VLOOKUP(C1379,P:R,3,0)),"",VLOOKUP(C1379,P:R,3,0))</f>
        <v/>
      </c>
      <c r="G1379">
        <f>ROUND(IF(D1379&gt;0,0,ABS(D1379)),2)</f>
        <v>0</v>
      </c>
      <c r="H1379">
        <f>ROUND(IF(D1379&gt;0,D1379,),2)</f>
        <v>0</v>
      </c>
      <c r="K1379" s="7"/>
      <c r="N1379" s="7"/>
      <c r="P1379" s="8"/>
      <c r="Q1379" s="5"/>
      <c r="R1379" s="5"/>
      <c r="AF1379" s="14"/>
    </row>
    <row r="1380" spans="1:32" customFormat="1" x14ac:dyDescent="0.25">
      <c r="A1380" s="9"/>
      <c r="C1380" s="14"/>
      <c r="E1380" t="str">
        <f>IF(ISNA(VLOOKUP(C1380,P:Q,2,0)),"",VLOOKUP(C1380,P:Q,2,0))</f>
        <v/>
      </c>
      <c r="F1380" s="15" t="str">
        <f>IF(ISNA(VLOOKUP(C1380,P:R,3,0)),"",VLOOKUP(C1380,P:R,3,0))</f>
        <v/>
      </c>
      <c r="G1380">
        <f>ROUND(IF(D1380&gt;0,0,ABS(D1380)),2)</f>
        <v>0</v>
      </c>
      <c r="H1380">
        <f>ROUND(IF(D1380&gt;0,D1380,),2)</f>
        <v>0</v>
      </c>
      <c r="K1380" s="7"/>
      <c r="N1380" s="7"/>
      <c r="P1380" s="8"/>
      <c r="Q1380" s="5"/>
      <c r="R1380" s="5"/>
      <c r="AF1380" s="14"/>
    </row>
    <row r="1381" spans="1:32" customFormat="1" x14ac:dyDescent="0.25">
      <c r="A1381" s="9"/>
      <c r="C1381" s="14"/>
      <c r="E1381" t="str">
        <f>IF(ISNA(VLOOKUP(C1381,P:Q,2,0)),"",VLOOKUP(C1381,P:Q,2,0))</f>
        <v/>
      </c>
      <c r="F1381" s="15" t="str">
        <f>IF(ISNA(VLOOKUP(C1381,P:R,3,0)),"",VLOOKUP(C1381,P:R,3,0))</f>
        <v/>
      </c>
      <c r="G1381">
        <f>ROUND(IF(D1381&gt;0,0,ABS(D1381)),2)</f>
        <v>0</v>
      </c>
      <c r="H1381">
        <f>ROUND(IF(D1381&gt;0,D1381,),2)</f>
        <v>0</v>
      </c>
      <c r="K1381" s="7"/>
      <c r="N1381" s="7"/>
      <c r="P1381" s="8"/>
      <c r="Q1381" s="5"/>
      <c r="R1381" s="5"/>
      <c r="AF1381" s="14"/>
    </row>
    <row r="1382" spans="1:32" customFormat="1" x14ac:dyDescent="0.25">
      <c r="A1382" s="9"/>
      <c r="C1382" s="14"/>
      <c r="E1382" t="str">
        <f>IF(ISNA(VLOOKUP(C1382,P:Q,2,0)),"",VLOOKUP(C1382,P:Q,2,0))</f>
        <v/>
      </c>
      <c r="F1382" s="15" t="str">
        <f>IF(ISNA(VLOOKUP(C1382,P:R,3,0)),"",VLOOKUP(C1382,P:R,3,0))</f>
        <v/>
      </c>
      <c r="G1382">
        <f>ROUND(IF(D1382&gt;0,0,ABS(D1382)),2)</f>
        <v>0</v>
      </c>
      <c r="H1382">
        <f>ROUND(IF(D1382&gt;0,D1382,),2)</f>
        <v>0</v>
      </c>
      <c r="K1382" s="7"/>
      <c r="N1382" s="7"/>
      <c r="P1382" s="8"/>
      <c r="Q1382" s="5"/>
      <c r="R1382" s="5"/>
      <c r="AF1382" s="14"/>
    </row>
    <row r="1383" spans="1:32" customFormat="1" x14ac:dyDescent="0.25">
      <c r="A1383" s="9"/>
      <c r="C1383" s="14"/>
      <c r="E1383" t="str">
        <f>IF(ISNA(VLOOKUP(C1383,P:Q,2,0)),"",VLOOKUP(C1383,P:Q,2,0))</f>
        <v/>
      </c>
      <c r="F1383" s="15" t="str">
        <f>IF(ISNA(VLOOKUP(C1383,P:R,3,0)),"",VLOOKUP(C1383,P:R,3,0))</f>
        <v/>
      </c>
      <c r="G1383">
        <f>ROUND(IF(D1383&gt;0,0,ABS(D1383)),2)</f>
        <v>0</v>
      </c>
      <c r="H1383">
        <f>ROUND(IF(D1383&gt;0,D1383,),2)</f>
        <v>0</v>
      </c>
      <c r="K1383" s="7"/>
      <c r="N1383" s="7"/>
      <c r="P1383" s="8"/>
      <c r="Q1383" s="5"/>
      <c r="R1383" s="5"/>
      <c r="AF1383" s="14"/>
    </row>
    <row r="1384" spans="1:32" customFormat="1" x14ac:dyDescent="0.25">
      <c r="A1384" s="9"/>
      <c r="C1384" s="14"/>
      <c r="E1384" t="str">
        <f>IF(ISNA(VLOOKUP(C1384,P:Q,2,0)),"",VLOOKUP(C1384,P:Q,2,0))</f>
        <v/>
      </c>
      <c r="F1384" s="15" t="str">
        <f>IF(ISNA(VLOOKUP(C1384,P:R,3,0)),"",VLOOKUP(C1384,P:R,3,0))</f>
        <v/>
      </c>
      <c r="G1384">
        <f>ROUND(IF(D1384&gt;0,0,ABS(D1384)),2)</f>
        <v>0</v>
      </c>
      <c r="H1384">
        <f>ROUND(IF(D1384&gt;0,D1384,),2)</f>
        <v>0</v>
      </c>
      <c r="K1384" s="7"/>
      <c r="N1384" s="7"/>
      <c r="P1384" s="8"/>
      <c r="Q1384" s="5"/>
      <c r="R1384" s="5"/>
      <c r="AF1384" s="14"/>
    </row>
    <row r="1385" spans="1:32" customFormat="1" x14ac:dyDescent="0.25">
      <c r="A1385" s="9"/>
      <c r="C1385" s="14"/>
      <c r="E1385" t="str">
        <f>IF(ISNA(VLOOKUP(C1385,P:Q,2,0)),"",VLOOKUP(C1385,P:Q,2,0))</f>
        <v/>
      </c>
      <c r="F1385" s="15" t="str">
        <f>IF(ISNA(VLOOKUP(C1385,P:R,3,0)),"",VLOOKUP(C1385,P:R,3,0))</f>
        <v/>
      </c>
      <c r="G1385">
        <f>ROUND(IF(D1385&gt;0,0,ABS(D1385)),2)</f>
        <v>0</v>
      </c>
      <c r="H1385">
        <f>ROUND(IF(D1385&gt;0,D1385,),2)</f>
        <v>0</v>
      </c>
      <c r="K1385" s="7"/>
      <c r="N1385" s="7"/>
      <c r="P1385" s="8"/>
      <c r="Q1385" s="5"/>
      <c r="R1385" s="5"/>
      <c r="AF1385" s="14"/>
    </row>
    <row r="1386" spans="1:32" customFormat="1" x14ac:dyDescent="0.25">
      <c r="A1386" s="9"/>
      <c r="C1386" s="14"/>
      <c r="E1386" t="str">
        <f>IF(ISNA(VLOOKUP(C1386,P:Q,2,0)),"",VLOOKUP(C1386,P:Q,2,0))</f>
        <v/>
      </c>
      <c r="F1386" s="15" t="str">
        <f>IF(ISNA(VLOOKUP(C1386,P:R,3,0)),"",VLOOKUP(C1386,P:R,3,0))</f>
        <v/>
      </c>
      <c r="G1386">
        <f>ROUND(IF(D1386&gt;0,0,ABS(D1386)),2)</f>
        <v>0</v>
      </c>
      <c r="H1386">
        <f>ROUND(IF(D1386&gt;0,D1386,),2)</f>
        <v>0</v>
      </c>
      <c r="K1386" s="7"/>
      <c r="N1386" s="7"/>
      <c r="P1386" s="8"/>
      <c r="Q1386" s="5"/>
      <c r="R1386" s="5"/>
      <c r="AF1386" s="14"/>
    </row>
    <row r="1387" spans="1:32" customFormat="1" x14ac:dyDescent="0.25">
      <c r="A1387" s="9"/>
      <c r="C1387" s="14"/>
      <c r="E1387" t="str">
        <f>IF(ISNA(VLOOKUP(C1387,P:Q,2,0)),"",VLOOKUP(C1387,P:Q,2,0))</f>
        <v/>
      </c>
      <c r="F1387" s="15" t="str">
        <f>IF(ISNA(VLOOKUP(C1387,P:R,3,0)),"",VLOOKUP(C1387,P:R,3,0))</f>
        <v/>
      </c>
      <c r="G1387">
        <f>ROUND(IF(D1387&gt;0,0,ABS(D1387)),2)</f>
        <v>0</v>
      </c>
      <c r="H1387">
        <f>ROUND(IF(D1387&gt;0,D1387,),2)</f>
        <v>0</v>
      </c>
      <c r="K1387" s="7"/>
      <c r="N1387" s="7"/>
      <c r="P1387" s="8"/>
      <c r="Q1387" s="5"/>
      <c r="R1387" s="5"/>
      <c r="AF1387" s="14"/>
    </row>
    <row r="1388" spans="1:32" customFormat="1" x14ac:dyDescent="0.25">
      <c r="A1388" s="9"/>
      <c r="C1388" s="14"/>
      <c r="E1388" t="str">
        <f>IF(ISNA(VLOOKUP(C1388,P:Q,2,0)),"",VLOOKUP(C1388,P:Q,2,0))</f>
        <v/>
      </c>
      <c r="F1388" s="15" t="str">
        <f>IF(ISNA(VLOOKUP(C1388,P:R,3,0)),"",VLOOKUP(C1388,P:R,3,0))</f>
        <v/>
      </c>
      <c r="G1388">
        <f>ROUND(IF(D1388&gt;0,0,ABS(D1388)),2)</f>
        <v>0</v>
      </c>
      <c r="H1388">
        <f>ROUND(IF(D1388&gt;0,D1388,),2)</f>
        <v>0</v>
      </c>
      <c r="K1388" s="7"/>
      <c r="N1388" s="7"/>
      <c r="P1388" s="8"/>
      <c r="Q1388" s="5"/>
      <c r="R1388" s="5"/>
      <c r="AF1388" s="14"/>
    </row>
    <row r="1389" spans="1:32" customFormat="1" x14ac:dyDescent="0.25">
      <c r="A1389" s="9"/>
      <c r="C1389" s="14"/>
      <c r="E1389" t="str">
        <f>IF(ISNA(VLOOKUP(C1389,P:Q,2,0)),"",VLOOKUP(C1389,P:Q,2,0))</f>
        <v/>
      </c>
      <c r="F1389" s="15" t="str">
        <f>IF(ISNA(VLOOKUP(C1389,P:R,3,0)),"",VLOOKUP(C1389,P:R,3,0))</f>
        <v/>
      </c>
      <c r="G1389">
        <f>ROUND(IF(D1389&gt;0,0,ABS(D1389)),2)</f>
        <v>0</v>
      </c>
      <c r="H1389">
        <f>ROUND(IF(D1389&gt;0,D1389,),2)</f>
        <v>0</v>
      </c>
      <c r="K1389" s="7"/>
      <c r="N1389" s="7"/>
      <c r="P1389" s="8"/>
      <c r="Q1389" s="5"/>
      <c r="R1389" s="5"/>
      <c r="AF1389" s="14"/>
    </row>
    <row r="1390" spans="1:32" customFormat="1" x14ac:dyDescent="0.25">
      <c r="A1390" s="9"/>
      <c r="C1390" s="14"/>
      <c r="E1390" t="str">
        <f>IF(ISNA(VLOOKUP(C1390,P:Q,2,0)),"",VLOOKUP(C1390,P:Q,2,0))</f>
        <v/>
      </c>
      <c r="F1390" s="15" t="str">
        <f>IF(ISNA(VLOOKUP(C1390,P:R,3,0)),"",VLOOKUP(C1390,P:R,3,0))</f>
        <v/>
      </c>
      <c r="G1390">
        <f>ROUND(IF(D1390&gt;0,0,ABS(D1390)),2)</f>
        <v>0</v>
      </c>
      <c r="H1390">
        <f>ROUND(IF(D1390&gt;0,D1390,),2)</f>
        <v>0</v>
      </c>
      <c r="K1390" s="7"/>
      <c r="N1390" s="7"/>
      <c r="P1390" s="8"/>
      <c r="Q1390" s="5"/>
      <c r="R1390" s="5"/>
      <c r="AF1390" s="14"/>
    </row>
    <row r="1391" spans="1:32" customFormat="1" x14ac:dyDescent="0.25">
      <c r="A1391" s="9"/>
      <c r="C1391" s="14"/>
      <c r="E1391" t="str">
        <f>IF(ISNA(VLOOKUP(C1391,P:Q,2,0)),"",VLOOKUP(C1391,P:Q,2,0))</f>
        <v/>
      </c>
      <c r="F1391" s="15" t="str">
        <f>IF(ISNA(VLOOKUP(C1391,P:R,3,0)),"",VLOOKUP(C1391,P:R,3,0))</f>
        <v/>
      </c>
      <c r="G1391">
        <f>ROUND(IF(D1391&gt;0,0,ABS(D1391)),2)</f>
        <v>0</v>
      </c>
      <c r="H1391">
        <f>ROUND(IF(D1391&gt;0,D1391,),2)</f>
        <v>0</v>
      </c>
      <c r="K1391" s="7"/>
      <c r="N1391" s="7"/>
      <c r="P1391" s="8"/>
      <c r="Q1391" s="5"/>
      <c r="R1391" s="5"/>
      <c r="AF1391" s="14"/>
    </row>
    <row r="1392" spans="1:32" customFormat="1" x14ac:dyDescent="0.25">
      <c r="A1392" s="9"/>
      <c r="C1392" s="14"/>
      <c r="E1392" t="str">
        <f>IF(ISNA(VLOOKUP(C1392,P:Q,2,0)),"",VLOOKUP(C1392,P:Q,2,0))</f>
        <v/>
      </c>
      <c r="F1392" s="15" t="str">
        <f>IF(ISNA(VLOOKUP(C1392,P:R,3,0)),"",VLOOKUP(C1392,P:R,3,0))</f>
        <v/>
      </c>
      <c r="G1392">
        <f>ROUND(IF(D1392&gt;0,0,ABS(D1392)),2)</f>
        <v>0</v>
      </c>
      <c r="H1392">
        <f>ROUND(IF(D1392&gt;0,D1392,),2)</f>
        <v>0</v>
      </c>
      <c r="K1392" s="7"/>
      <c r="N1392" s="7"/>
      <c r="P1392" s="8"/>
      <c r="Q1392" s="5"/>
      <c r="R1392" s="5"/>
      <c r="AF1392" s="14"/>
    </row>
    <row r="1393" spans="1:32" customFormat="1" x14ac:dyDescent="0.25">
      <c r="A1393" s="9"/>
      <c r="C1393" s="14"/>
      <c r="E1393" t="str">
        <f>IF(ISNA(VLOOKUP(C1393,P:Q,2,0)),"",VLOOKUP(C1393,P:Q,2,0))</f>
        <v/>
      </c>
      <c r="F1393" s="15" t="str">
        <f>IF(ISNA(VLOOKUP(C1393,P:R,3,0)),"",VLOOKUP(C1393,P:R,3,0))</f>
        <v/>
      </c>
      <c r="G1393">
        <f>ROUND(IF(D1393&gt;0,0,ABS(D1393)),2)</f>
        <v>0</v>
      </c>
      <c r="H1393">
        <f>ROUND(IF(D1393&gt;0,D1393,),2)</f>
        <v>0</v>
      </c>
      <c r="K1393" s="7"/>
      <c r="N1393" s="7"/>
      <c r="P1393" s="8"/>
      <c r="Q1393" s="5"/>
      <c r="R1393" s="5"/>
      <c r="AF1393" s="14"/>
    </row>
    <row r="1394" spans="1:32" customFormat="1" x14ac:dyDescent="0.25">
      <c r="A1394" s="9"/>
      <c r="C1394" s="14"/>
      <c r="E1394" t="str">
        <f>IF(ISNA(VLOOKUP(C1394,P:Q,2,0)),"",VLOOKUP(C1394,P:Q,2,0))</f>
        <v/>
      </c>
      <c r="F1394" s="15" t="str">
        <f>IF(ISNA(VLOOKUP(C1394,P:R,3,0)),"",VLOOKUP(C1394,P:R,3,0))</f>
        <v/>
      </c>
      <c r="G1394">
        <f>ROUND(IF(D1394&gt;0,0,ABS(D1394)),2)</f>
        <v>0</v>
      </c>
      <c r="H1394">
        <f>ROUND(IF(D1394&gt;0,D1394,),2)</f>
        <v>0</v>
      </c>
      <c r="K1394" s="7"/>
      <c r="N1394" s="7"/>
      <c r="P1394" s="8"/>
      <c r="Q1394" s="5"/>
      <c r="R1394" s="5"/>
      <c r="AF1394" s="14"/>
    </row>
    <row r="1395" spans="1:32" customFormat="1" x14ac:dyDescent="0.25">
      <c r="A1395" s="9"/>
      <c r="C1395" s="14"/>
      <c r="E1395" t="str">
        <f>IF(ISNA(VLOOKUP(C1395,P:Q,2,0)),"",VLOOKUP(C1395,P:Q,2,0))</f>
        <v/>
      </c>
      <c r="F1395" s="15" t="str">
        <f>IF(ISNA(VLOOKUP(C1395,P:R,3,0)),"",VLOOKUP(C1395,P:R,3,0))</f>
        <v/>
      </c>
      <c r="G1395">
        <f>ROUND(IF(D1395&gt;0,0,ABS(D1395)),2)</f>
        <v>0</v>
      </c>
      <c r="H1395">
        <f>ROUND(IF(D1395&gt;0,D1395,),2)</f>
        <v>0</v>
      </c>
      <c r="K1395" s="7"/>
      <c r="N1395" s="7"/>
      <c r="P1395" s="8"/>
      <c r="Q1395" s="5"/>
      <c r="R1395" s="5"/>
      <c r="AF1395" s="14"/>
    </row>
    <row r="1396" spans="1:32" customFormat="1" x14ac:dyDescent="0.25">
      <c r="A1396" s="9"/>
      <c r="C1396" s="14"/>
      <c r="E1396" t="str">
        <f>IF(ISNA(VLOOKUP(C1396,P:Q,2,0)),"",VLOOKUP(C1396,P:Q,2,0))</f>
        <v/>
      </c>
      <c r="F1396" s="15" t="str">
        <f>IF(ISNA(VLOOKUP(C1396,P:R,3,0)),"",VLOOKUP(C1396,P:R,3,0))</f>
        <v/>
      </c>
      <c r="G1396">
        <f>ROUND(IF(D1396&gt;0,0,ABS(D1396)),2)</f>
        <v>0</v>
      </c>
      <c r="H1396">
        <f>ROUND(IF(D1396&gt;0,D1396,),2)</f>
        <v>0</v>
      </c>
      <c r="K1396" s="7"/>
      <c r="N1396" s="7"/>
      <c r="P1396" s="8"/>
      <c r="Q1396" s="5"/>
      <c r="R1396" s="5"/>
      <c r="AF1396" s="14"/>
    </row>
    <row r="1397" spans="1:32" customFormat="1" x14ac:dyDescent="0.25">
      <c r="A1397" s="9"/>
      <c r="C1397" s="14"/>
      <c r="E1397" t="str">
        <f>IF(ISNA(VLOOKUP(C1397,P:Q,2,0)),"",VLOOKUP(C1397,P:Q,2,0))</f>
        <v/>
      </c>
      <c r="F1397" s="15" t="str">
        <f>IF(ISNA(VLOOKUP(C1397,P:R,3,0)),"",VLOOKUP(C1397,P:R,3,0))</f>
        <v/>
      </c>
      <c r="G1397">
        <f>ROUND(IF(D1397&gt;0,0,ABS(D1397)),2)</f>
        <v>0</v>
      </c>
      <c r="H1397">
        <f>ROUND(IF(D1397&gt;0,D1397,),2)</f>
        <v>0</v>
      </c>
      <c r="K1397" s="7"/>
      <c r="N1397" s="7"/>
      <c r="P1397" s="8"/>
      <c r="Q1397" s="5"/>
      <c r="R1397" s="5"/>
      <c r="AF1397" s="14"/>
    </row>
    <row r="1398" spans="1:32" customFormat="1" x14ac:dyDescent="0.25">
      <c r="A1398" s="9"/>
      <c r="C1398" s="14"/>
      <c r="E1398" t="str">
        <f>IF(ISNA(VLOOKUP(C1398,P:Q,2,0)),"",VLOOKUP(C1398,P:Q,2,0))</f>
        <v/>
      </c>
      <c r="F1398" s="15" t="str">
        <f>IF(ISNA(VLOOKUP(C1398,P:R,3,0)),"",VLOOKUP(C1398,P:R,3,0))</f>
        <v/>
      </c>
      <c r="G1398">
        <f>ROUND(IF(D1398&gt;0,0,ABS(D1398)),2)</f>
        <v>0</v>
      </c>
      <c r="H1398">
        <f>ROUND(IF(D1398&gt;0,D1398,),2)</f>
        <v>0</v>
      </c>
      <c r="K1398" s="7"/>
      <c r="N1398" s="7"/>
      <c r="P1398" s="8"/>
      <c r="Q1398" s="5"/>
      <c r="R1398" s="5"/>
      <c r="AF1398" s="14"/>
    </row>
    <row r="1399" spans="1:32" customFormat="1" x14ac:dyDescent="0.25">
      <c r="A1399" s="9"/>
      <c r="C1399" s="14"/>
      <c r="E1399" t="str">
        <f>IF(ISNA(VLOOKUP(C1399,P:Q,2,0)),"",VLOOKUP(C1399,P:Q,2,0))</f>
        <v/>
      </c>
      <c r="F1399" s="15" t="str">
        <f>IF(ISNA(VLOOKUP(C1399,P:R,3,0)),"",VLOOKUP(C1399,P:R,3,0))</f>
        <v/>
      </c>
      <c r="G1399">
        <f>ROUND(IF(D1399&gt;0,0,ABS(D1399)),2)</f>
        <v>0</v>
      </c>
      <c r="H1399">
        <f>ROUND(IF(D1399&gt;0,D1399,),2)</f>
        <v>0</v>
      </c>
      <c r="K1399" s="7"/>
      <c r="N1399" s="7"/>
      <c r="P1399" s="8"/>
      <c r="Q1399" s="5"/>
      <c r="R1399" s="5"/>
      <c r="AF1399" s="14"/>
    </row>
    <row r="1400" spans="1:32" customFormat="1" x14ac:dyDescent="0.25">
      <c r="A1400" s="9"/>
      <c r="C1400" s="14"/>
      <c r="E1400" t="str">
        <f>IF(ISNA(VLOOKUP(C1400,P:Q,2,0)),"",VLOOKUP(C1400,P:Q,2,0))</f>
        <v/>
      </c>
      <c r="F1400" s="15" t="str">
        <f>IF(ISNA(VLOOKUP(C1400,P:R,3,0)),"",VLOOKUP(C1400,P:R,3,0))</f>
        <v/>
      </c>
      <c r="G1400">
        <f>ROUND(IF(D1400&gt;0,0,ABS(D1400)),2)</f>
        <v>0</v>
      </c>
      <c r="H1400">
        <f>ROUND(IF(D1400&gt;0,D1400,),2)</f>
        <v>0</v>
      </c>
      <c r="K1400" s="7"/>
      <c r="N1400" s="7"/>
      <c r="P1400" s="8"/>
      <c r="Q1400" s="5"/>
      <c r="R1400" s="5"/>
      <c r="AF1400" s="14"/>
    </row>
    <row r="1401" spans="1:32" customFormat="1" x14ac:dyDescent="0.25">
      <c r="A1401" s="9"/>
      <c r="C1401" s="14"/>
      <c r="E1401" t="str">
        <f t="shared" ref="E1401:E1434" si="4">IF(ISNA(VLOOKUP(C1401,P:Q,2,0)),"",VLOOKUP(C1401,P:Q,2,0))</f>
        <v/>
      </c>
      <c r="F1401" s="15" t="str">
        <f t="shared" ref="F1401:F1434" si="5">IF(ISNA(VLOOKUP(C1401,P:R,3,0)),"",VLOOKUP(C1401,P:R,3,0))</f>
        <v/>
      </c>
      <c r="G1401">
        <f t="shared" ref="G1401:G1411" si="6">ROUND(IF(D1401&gt;0,0,ABS(D1401)),2)</f>
        <v>0</v>
      </c>
      <c r="H1401">
        <f t="shared" ref="H1401:H1411" si="7">ROUND(IF(D1401&gt;0,D1401,),2)</f>
        <v>0</v>
      </c>
      <c r="K1401" s="7"/>
      <c r="N1401" s="7"/>
      <c r="P1401" s="8"/>
      <c r="Q1401" s="5"/>
      <c r="R1401" s="5"/>
      <c r="AF1401" s="14"/>
    </row>
    <row r="1402" spans="1:32" customFormat="1" x14ac:dyDescent="0.25">
      <c r="A1402" s="9"/>
      <c r="C1402" s="14"/>
      <c r="E1402" t="str">
        <f t="shared" si="4"/>
        <v/>
      </c>
      <c r="F1402" s="15" t="str">
        <f t="shared" si="5"/>
        <v/>
      </c>
      <c r="G1402">
        <f t="shared" si="6"/>
        <v>0</v>
      </c>
      <c r="H1402">
        <f t="shared" si="7"/>
        <v>0</v>
      </c>
      <c r="K1402" s="7"/>
      <c r="N1402" s="7"/>
      <c r="P1402" s="8"/>
      <c r="Q1402" s="5"/>
      <c r="R1402" s="5"/>
      <c r="AF1402" s="14"/>
    </row>
    <row r="1403" spans="1:32" customFormat="1" x14ac:dyDescent="0.25">
      <c r="A1403" s="9"/>
      <c r="C1403" s="14"/>
      <c r="E1403" t="str">
        <f t="shared" si="4"/>
        <v/>
      </c>
      <c r="F1403" s="15" t="str">
        <f t="shared" si="5"/>
        <v/>
      </c>
      <c r="G1403">
        <f t="shared" si="6"/>
        <v>0</v>
      </c>
      <c r="H1403">
        <f t="shared" si="7"/>
        <v>0</v>
      </c>
      <c r="K1403" s="7"/>
      <c r="N1403" s="7"/>
      <c r="P1403" s="8"/>
      <c r="Q1403" s="5"/>
      <c r="R1403" s="5"/>
      <c r="AF1403" s="14"/>
    </row>
    <row r="1404" spans="1:32" customFormat="1" x14ac:dyDescent="0.25">
      <c r="A1404" s="9"/>
      <c r="C1404" s="14"/>
      <c r="E1404" t="str">
        <f t="shared" si="4"/>
        <v/>
      </c>
      <c r="F1404" s="15" t="str">
        <f t="shared" si="5"/>
        <v/>
      </c>
      <c r="G1404">
        <f t="shared" si="6"/>
        <v>0</v>
      </c>
      <c r="H1404">
        <f t="shared" si="7"/>
        <v>0</v>
      </c>
      <c r="K1404" s="7"/>
      <c r="N1404" s="7"/>
      <c r="P1404" s="8"/>
      <c r="Q1404" s="5"/>
      <c r="R1404" s="5"/>
      <c r="AF1404" s="14"/>
    </row>
    <row r="1405" spans="1:32" customFormat="1" x14ac:dyDescent="0.25">
      <c r="A1405" s="9"/>
      <c r="C1405" s="14"/>
      <c r="E1405" t="str">
        <f t="shared" si="4"/>
        <v/>
      </c>
      <c r="F1405" s="15" t="str">
        <f t="shared" si="5"/>
        <v/>
      </c>
      <c r="G1405">
        <f t="shared" si="6"/>
        <v>0</v>
      </c>
      <c r="H1405">
        <f t="shared" si="7"/>
        <v>0</v>
      </c>
      <c r="K1405" s="7"/>
      <c r="N1405" s="7"/>
      <c r="P1405" s="8"/>
      <c r="Q1405" s="5"/>
      <c r="R1405" s="5"/>
      <c r="AF1405" s="14"/>
    </row>
    <row r="1406" spans="1:32" customFormat="1" x14ac:dyDescent="0.25">
      <c r="A1406" s="9"/>
      <c r="C1406" s="14"/>
      <c r="E1406" t="str">
        <f t="shared" si="4"/>
        <v/>
      </c>
      <c r="F1406" s="15" t="str">
        <f t="shared" si="5"/>
        <v/>
      </c>
      <c r="G1406">
        <f t="shared" si="6"/>
        <v>0</v>
      </c>
      <c r="H1406">
        <f t="shared" si="7"/>
        <v>0</v>
      </c>
      <c r="K1406" s="7"/>
      <c r="N1406" s="7"/>
      <c r="P1406" s="8"/>
      <c r="Q1406" s="5"/>
      <c r="R1406" s="5"/>
      <c r="AF1406" s="14"/>
    </row>
    <row r="1407" spans="1:32" customFormat="1" x14ac:dyDescent="0.25">
      <c r="A1407" s="9"/>
      <c r="C1407" s="14"/>
      <c r="E1407" t="str">
        <f t="shared" si="4"/>
        <v/>
      </c>
      <c r="F1407" s="15" t="str">
        <f t="shared" si="5"/>
        <v/>
      </c>
      <c r="G1407">
        <f t="shared" si="6"/>
        <v>0</v>
      </c>
      <c r="H1407">
        <f t="shared" si="7"/>
        <v>0</v>
      </c>
      <c r="K1407" s="7"/>
      <c r="N1407" s="7"/>
      <c r="P1407" s="8"/>
      <c r="Q1407" s="5"/>
      <c r="R1407" s="5"/>
      <c r="AF1407" s="14"/>
    </row>
    <row r="1408" spans="1:32" customFormat="1" x14ac:dyDescent="0.25">
      <c r="A1408" s="9"/>
      <c r="C1408" s="14"/>
      <c r="E1408" t="str">
        <f t="shared" si="4"/>
        <v/>
      </c>
      <c r="F1408" s="15" t="str">
        <f t="shared" si="5"/>
        <v/>
      </c>
      <c r="G1408">
        <f t="shared" si="6"/>
        <v>0</v>
      </c>
      <c r="H1408">
        <f t="shared" si="7"/>
        <v>0</v>
      </c>
      <c r="K1408" s="7"/>
      <c r="N1408" s="7"/>
      <c r="P1408" s="8"/>
      <c r="Q1408" s="5"/>
      <c r="R1408" s="5"/>
      <c r="AF1408" s="14"/>
    </row>
    <row r="1409" spans="1:32" customFormat="1" x14ac:dyDescent="0.25">
      <c r="A1409" s="9"/>
      <c r="C1409" s="14"/>
      <c r="E1409" t="str">
        <f t="shared" si="4"/>
        <v/>
      </c>
      <c r="F1409" s="15" t="str">
        <f t="shared" si="5"/>
        <v/>
      </c>
      <c r="G1409">
        <f t="shared" si="6"/>
        <v>0</v>
      </c>
      <c r="H1409">
        <f t="shared" si="7"/>
        <v>0</v>
      </c>
      <c r="K1409" s="7"/>
      <c r="N1409" s="7"/>
      <c r="P1409" s="8"/>
      <c r="Q1409" s="5"/>
      <c r="R1409" s="5"/>
      <c r="AF1409" s="14"/>
    </row>
    <row r="1410" spans="1:32" customFormat="1" x14ac:dyDescent="0.25">
      <c r="A1410" s="9"/>
      <c r="C1410" s="14"/>
      <c r="E1410" t="str">
        <f t="shared" si="4"/>
        <v/>
      </c>
      <c r="F1410" s="15" t="str">
        <f t="shared" si="5"/>
        <v/>
      </c>
      <c r="G1410">
        <f t="shared" si="6"/>
        <v>0</v>
      </c>
      <c r="H1410">
        <f t="shared" si="7"/>
        <v>0</v>
      </c>
      <c r="K1410" s="7"/>
      <c r="N1410" s="7"/>
      <c r="P1410" s="8"/>
      <c r="Q1410" s="5"/>
      <c r="R1410" s="5"/>
      <c r="AF1410" s="14"/>
    </row>
    <row r="1411" spans="1:32" customFormat="1" x14ac:dyDescent="0.25">
      <c r="A1411" s="9"/>
      <c r="C1411" s="14"/>
      <c r="E1411" t="str">
        <f t="shared" si="4"/>
        <v/>
      </c>
      <c r="F1411" s="15" t="str">
        <f t="shared" si="5"/>
        <v/>
      </c>
      <c r="G1411">
        <f t="shared" si="6"/>
        <v>0</v>
      </c>
      <c r="H1411">
        <f t="shared" si="7"/>
        <v>0</v>
      </c>
      <c r="K1411" s="7"/>
      <c r="N1411" s="7"/>
      <c r="P1411" s="8"/>
      <c r="Q1411" s="5"/>
      <c r="R1411" s="5"/>
      <c r="AF1411" s="14"/>
    </row>
    <row r="1412" spans="1:32" customFormat="1" x14ac:dyDescent="0.25">
      <c r="A1412" s="9"/>
      <c r="C1412" s="14"/>
      <c r="E1412" t="str">
        <f t="shared" si="4"/>
        <v/>
      </c>
      <c r="F1412" s="15" t="str">
        <f t="shared" si="5"/>
        <v/>
      </c>
      <c r="G1412">
        <f t="shared" ref="G1412:G1475" si="8">ROUND(IF(D1412&gt;0,0,ABS(D1412)),2)</f>
        <v>0</v>
      </c>
      <c r="H1412">
        <f t="shared" ref="H1412:H1475" si="9">ROUND(IF(D1412&gt;0,D1412,),2)</f>
        <v>0</v>
      </c>
      <c r="K1412" s="7"/>
      <c r="N1412" s="7"/>
      <c r="P1412" s="8"/>
      <c r="Q1412" s="5"/>
      <c r="R1412" s="5"/>
      <c r="AF1412" s="14"/>
    </row>
    <row r="1413" spans="1:32" customFormat="1" x14ac:dyDescent="0.25">
      <c r="A1413" s="9"/>
      <c r="C1413" s="14"/>
      <c r="E1413" t="str">
        <f t="shared" si="4"/>
        <v/>
      </c>
      <c r="F1413" s="15" t="str">
        <f t="shared" si="5"/>
        <v/>
      </c>
      <c r="G1413">
        <f t="shared" si="8"/>
        <v>0</v>
      </c>
      <c r="H1413">
        <f t="shared" si="9"/>
        <v>0</v>
      </c>
      <c r="K1413" s="7"/>
      <c r="N1413" s="7"/>
      <c r="P1413" s="8"/>
      <c r="Q1413" s="5"/>
      <c r="R1413" s="5"/>
      <c r="AF1413" s="14"/>
    </row>
    <row r="1414" spans="1:32" customFormat="1" x14ac:dyDescent="0.25">
      <c r="A1414" s="9"/>
      <c r="C1414" s="14"/>
      <c r="E1414" t="str">
        <f t="shared" si="4"/>
        <v/>
      </c>
      <c r="F1414" s="15" t="str">
        <f t="shared" si="5"/>
        <v/>
      </c>
      <c r="G1414">
        <f t="shared" si="8"/>
        <v>0</v>
      </c>
      <c r="H1414">
        <f t="shared" si="9"/>
        <v>0</v>
      </c>
      <c r="K1414" s="7"/>
      <c r="N1414" s="7"/>
      <c r="P1414" s="8"/>
      <c r="Q1414" s="5"/>
      <c r="R1414" s="5"/>
      <c r="AF1414" s="14"/>
    </row>
    <row r="1415" spans="1:32" customFormat="1" x14ac:dyDescent="0.25">
      <c r="A1415" s="9"/>
      <c r="C1415" s="14"/>
      <c r="E1415" t="str">
        <f t="shared" si="4"/>
        <v/>
      </c>
      <c r="F1415" s="15" t="str">
        <f t="shared" si="5"/>
        <v/>
      </c>
      <c r="G1415">
        <f t="shared" si="8"/>
        <v>0</v>
      </c>
      <c r="H1415">
        <f t="shared" si="9"/>
        <v>0</v>
      </c>
      <c r="K1415" s="7"/>
      <c r="N1415" s="7"/>
      <c r="P1415" s="8"/>
      <c r="Q1415" s="5"/>
      <c r="R1415" s="5"/>
      <c r="AF1415" s="14"/>
    </row>
    <row r="1416" spans="1:32" customFormat="1" x14ac:dyDescent="0.25">
      <c r="A1416" s="9"/>
      <c r="C1416" s="14"/>
      <c r="E1416" t="str">
        <f t="shared" si="4"/>
        <v/>
      </c>
      <c r="F1416" s="15" t="str">
        <f t="shared" si="5"/>
        <v/>
      </c>
      <c r="G1416">
        <f t="shared" si="8"/>
        <v>0</v>
      </c>
      <c r="H1416">
        <f t="shared" si="9"/>
        <v>0</v>
      </c>
      <c r="K1416" s="7"/>
      <c r="N1416" s="7"/>
      <c r="P1416" s="8"/>
      <c r="Q1416" s="5"/>
      <c r="R1416" s="5"/>
      <c r="AF1416" s="14"/>
    </row>
    <row r="1417" spans="1:32" customFormat="1" x14ac:dyDescent="0.25">
      <c r="A1417" s="9"/>
      <c r="C1417" s="14"/>
      <c r="E1417" t="str">
        <f t="shared" si="4"/>
        <v/>
      </c>
      <c r="F1417" s="15" t="str">
        <f t="shared" si="5"/>
        <v/>
      </c>
      <c r="G1417">
        <f t="shared" si="8"/>
        <v>0</v>
      </c>
      <c r="H1417">
        <f t="shared" si="9"/>
        <v>0</v>
      </c>
      <c r="K1417" s="7"/>
      <c r="N1417" s="7"/>
      <c r="P1417" s="8"/>
      <c r="Q1417" s="5"/>
      <c r="R1417" s="5"/>
      <c r="AF1417" s="14"/>
    </row>
    <row r="1418" spans="1:32" customFormat="1" x14ac:dyDescent="0.25">
      <c r="A1418" s="9"/>
      <c r="C1418" s="14"/>
      <c r="E1418" t="str">
        <f t="shared" si="4"/>
        <v/>
      </c>
      <c r="F1418" s="15" t="str">
        <f t="shared" si="5"/>
        <v/>
      </c>
      <c r="G1418">
        <f t="shared" si="8"/>
        <v>0</v>
      </c>
      <c r="H1418">
        <f t="shared" si="9"/>
        <v>0</v>
      </c>
      <c r="K1418" s="7"/>
      <c r="N1418" s="7"/>
      <c r="P1418" s="8"/>
      <c r="Q1418" s="5"/>
      <c r="R1418" s="5"/>
      <c r="AF1418" s="14"/>
    </row>
    <row r="1419" spans="1:32" customFormat="1" x14ac:dyDescent="0.25">
      <c r="A1419" s="9"/>
      <c r="C1419" s="14"/>
      <c r="E1419" t="str">
        <f t="shared" si="4"/>
        <v/>
      </c>
      <c r="F1419" s="15" t="str">
        <f t="shared" si="5"/>
        <v/>
      </c>
      <c r="G1419">
        <f t="shared" si="8"/>
        <v>0</v>
      </c>
      <c r="H1419">
        <f t="shared" si="9"/>
        <v>0</v>
      </c>
      <c r="K1419" s="7"/>
      <c r="N1419" s="7"/>
      <c r="P1419" s="8"/>
      <c r="Q1419" s="5"/>
      <c r="R1419" s="5"/>
      <c r="AF1419" s="14"/>
    </row>
    <row r="1420" spans="1:32" customFormat="1" x14ac:dyDescent="0.25">
      <c r="A1420" s="9"/>
      <c r="C1420" s="14"/>
      <c r="E1420" t="str">
        <f t="shared" si="4"/>
        <v/>
      </c>
      <c r="F1420" s="15" t="str">
        <f t="shared" si="5"/>
        <v/>
      </c>
      <c r="G1420">
        <f t="shared" si="8"/>
        <v>0</v>
      </c>
      <c r="H1420">
        <f t="shared" si="9"/>
        <v>0</v>
      </c>
      <c r="K1420" s="7"/>
      <c r="N1420" s="7"/>
      <c r="P1420" s="8"/>
      <c r="Q1420" s="5"/>
      <c r="R1420" s="5"/>
      <c r="AF1420" s="14"/>
    </row>
    <row r="1421" spans="1:32" customFormat="1" x14ac:dyDescent="0.25">
      <c r="A1421" s="9"/>
      <c r="C1421" s="14"/>
      <c r="E1421" t="str">
        <f t="shared" si="4"/>
        <v/>
      </c>
      <c r="F1421" s="15" t="str">
        <f t="shared" si="5"/>
        <v/>
      </c>
      <c r="G1421">
        <f t="shared" si="8"/>
        <v>0</v>
      </c>
      <c r="H1421">
        <f t="shared" si="9"/>
        <v>0</v>
      </c>
      <c r="K1421" s="7"/>
      <c r="N1421" s="7"/>
      <c r="P1421" s="8"/>
      <c r="Q1421" s="5"/>
      <c r="R1421" s="5"/>
      <c r="AF1421" s="14"/>
    </row>
    <row r="1422" spans="1:32" customFormat="1" x14ac:dyDescent="0.25">
      <c r="A1422" s="9"/>
      <c r="C1422" s="14"/>
      <c r="E1422" t="str">
        <f t="shared" si="4"/>
        <v/>
      </c>
      <c r="F1422" s="15" t="str">
        <f t="shared" si="5"/>
        <v/>
      </c>
      <c r="G1422">
        <f t="shared" si="8"/>
        <v>0</v>
      </c>
      <c r="H1422">
        <f t="shared" si="9"/>
        <v>0</v>
      </c>
      <c r="K1422" s="7"/>
      <c r="N1422" s="7"/>
      <c r="P1422" s="8"/>
      <c r="Q1422" s="5"/>
      <c r="R1422" s="5"/>
      <c r="AF1422" s="14"/>
    </row>
    <row r="1423" spans="1:32" customFormat="1" x14ac:dyDescent="0.25">
      <c r="A1423" s="9"/>
      <c r="C1423" s="14"/>
      <c r="E1423" t="str">
        <f t="shared" si="4"/>
        <v/>
      </c>
      <c r="F1423" s="15" t="str">
        <f t="shared" si="5"/>
        <v/>
      </c>
      <c r="G1423">
        <f t="shared" si="8"/>
        <v>0</v>
      </c>
      <c r="H1423">
        <f t="shared" si="9"/>
        <v>0</v>
      </c>
      <c r="K1423" s="7"/>
      <c r="N1423" s="7"/>
      <c r="P1423" s="8"/>
      <c r="Q1423" s="5"/>
      <c r="R1423" s="5"/>
      <c r="AF1423" s="14"/>
    </row>
    <row r="1424" spans="1:32" customFormat="1" x14ac:dyDescent="0.25">
      <c r="A1424" s="9"/>
      <c r="C1424" s="14"/>
      <c r="E1424" t="str">
        <f t="shared" si="4"/>
        <v/>
      </c>
      <c r="F1424" s="15" t="str">
        <f t="shared" si="5"/>
        <v/>
      </c>
      <c r="G1424">
        <f t="shared" si="8"/>
        <v>0</v>
      </c>
      <c r="H1424">
        <f t="shared" si="9"/>
        <v>0</v>
      </c>
      <c r="K1424" s="7"/>
      <c r="N1424" s="7"/>
      <c r="P1424" s="8"/>
      <c r="Q1424" s="5"/>
      <c r="R1424" s="5"/>
      <c r="AF1424" s="14"/>
    </row>
    <row r="1425" spans="1:32" customFormat="1" x14ac:dyDescent="0.25">
      <c r="A1425" s="9"/>
      <c r="C1425" s="14"/>
      <c r="E1425" t="str">
        <f t="shared" si="4"/>
        <v/>
      </c>
      <c r="F1425" s="15" t="str">
        <f t="shared" si="5"/>
        <v/>
      </c>
      <c r="G1425">
        <f t="shared" si="8"/>
        <v>0</v>
      </c>
      <c r="H1425">
        <f t="shared" si="9"/>
        <v>0</v>
      </c>
      <c r="K1425" s="7"/>
      <c r="N1425" s="7"/>
      <c r="P1425" s="8"/>
      <c r="Q1425" s="5"/>
      <c r="R1425" s="5"/>
      <c r="AF1425" s="14"/>
    </row>
    <row r="1426" spans="1:32" customFormat="1" x14ac:dyDescent="0.25">
      <c r="A1426" s="9"/>
      <c r="C1426" s="14"/>
      <c r="E1426" t="str">
        <f t="shared" si="4"/>
        <v/>
      </c>
      <c r="F1426" s="15" t="str">
        <f t="shared" si="5"/>
        <v/>
      </c>
      <c r="G1426">
        <f t="shared" si="8"/>
        <v>0</v>
      </c>
      <c r="H1426">
        <f t="shared" si="9"/>
        <v>0</v>
      </c>
      <c r="K1426" s="7"/>
      <c r="N1426" s="7"/>
      <c r="P1426" s="8"/>
      <c r="Q1426" s="5"/>
      <c r="R1426" s="5"/>
      <c r="AF1426" s="14"/>
    </row>
    <row r="1427" spans="1:32" customFormat="1" x14ac:dyDescent="0.25">
      <c r="A1427" s="9"/>
      <c r="C1427" s="14"/>
      <c r="E1427" t="str">
        <f t="shared" si="4"/>
        <v/>
      </c>
      <c r="F1427" s="15" t="str">
        <f t="shared" si="5"/>
        <v/>
      </c>
      <c r="G1427">
        <f t="shared" si="8"/>
        <v>0</v>
      </c>
      <c r="H1427">
        <f t="shared" si="9"/>
        <v>0</v>
      </c>
      <c r="K1427" s="7"/>
      <c r="N1427" s="7"/>
      <c r="P1427" s="8"/>
      <c r="Q1427" s="5"/>
      <c r="R1427" s="5"/>
      <c r="AF1427" s="14"/>
    </row>
    <row r="1428" spans="1:32" customFormat="1" x14ac:dyDescent="0.25">
      <c r="A1428" s="9"/>
      <c r="C1428" s="14"/>
      <c r="E1428" t="str">
        <f t="shared" si="4"/>
        <v/>
      </c>
      <c r="F1428" s="15" t="str">
        <f t="shared" si="5"/>
        <v/>
      </c>
      <c r="G1428">
        <f t="shared" si="8"/>
        <v>0</v>
      </c>
      <c r="H1428">
        <f t="shared" si="9"/>
        <v>0</v>
      </c>
      <c r="K1428" s="7"/>
      <c r="N1428" s="7"/>
      <c r="P1428" s="8"/>
      <c r="Q1428" s="5"/>
      <c r="R1428" s="5"/>
      <c r="AF1428" s="14"/>
    </row>
    <row r="1429" spans="1:32" customFormat="1" x14ac:dyDescent="0.25">
      <c r="A1429" s="9"/>
      <c r="C1429" s="14"/>
      <c r="E1429" t="str">
        <f t="shared" si="4"/>
        <v/>
      </c>
      <c r="F1429" s="15" t="str">
        <f t="shared" si="5"/>
        <v/>
      </c>
      <c r="G1429">
        <f t="shared" si="8"/>
        <v>0</v>
      </c>
      <c r="H1429">
        <f t="shared" si="9"/>
        <v>0</v>
      </c>
      <c r="K1429" s="7"/>
      <c r="N1429" s="7"/>
      <c r="P1429" s="8"/>
      <c r="Q1429" s="5"/>
      <c r="R1429" s="5"/>
      <c r="AF1429" s="14"/>
    </row>
    <row r="1430" spans="1:32" customFormat="1" x14ac:dyDescent="0.25">
      <c r="A1430" s="9"/>
      <c r="C1430" s="14"/>
      <c r="E1430" t="str">
        <f t="shared" si="4"/>
        <v/>
      </c>
      <c r="F1430" s="15" t="str">
        <f t="shared" si="5"/>
        <v/>
      </c>
      <c r="G1430">
        <f t="shared" si="8"/>
        <v>0</v>
      </c>
      <c r="H1430">
        <f t="shared" si="9"/>
        <v>0</v>
      </c>
      <c r="K1430" s="7"/>
      <c r="N1430" s="7"/>
      <c r="P1430" s="8"/>
      <c r="Q1430" s="5"/>
      <c r="R1430" s="5"/>
      <c r="AF1430" s="14"/>
    </row>
    <row r="1431" spans="1:32" customFormat="1" x14ac:dyDescent="0.25">
      <c r="A1431" s="9"/>
      <c r="C1431" s="14"/>
      <c r="E1431" t="str">
        <f t="shared" si="4"/>
        <v/>
      </c>
      <c r="F1431" s="15" t="str">
        <f t="shared" si="5"/>
        <v/>
      </c>
      <c r="G1431">
        <f t="shared" si="8"/>
        <v>0</v>
      </c>
      <c r="H1431">
        <f t="shared" si="9"/>
        <v>0</v>
      </c>
      <c r="K1431" s="7"/>
      <c r="N1431" s="7"/>
      <c r="P1431" s="8"/>
      <c r="Q1431" s="5"/>
      <c r="R1431" s="5"/>
      <c r="AF1431" s="14"/>
    </row>
    <row r="1432" spans="1:32" customFormat="1" x14ac:dyDescent="0.25">
      <c r="A1432" s="9"/>
      <c r="C1432" s="14"/>
      <c r="E1432" t="str">
        <f t="shared" si="4"/>
        <v/>
      </c>
      <c r="F1432" s="15" t="str">
        <f t="shared" si="5"/>
        <v/>
      </c>
      <c r="G1432">
        <f t="shared" si="8"/>
        <v>0</v>
      </c>
      <c r="H1432">
        <f t="shared" si="9"/>
        <v>0</v>
      </c>
      <c r="K1432" s="7"/>
      <c r="N1432" s="7"/>
      <c r="P1432" s="8"/>
      <c r="Q1432" s="5"/>
      <c r="R1432" s="5"/>
      <c r="AF1432" s="14"/>
    </row>
    <row r="1433" spans="1:32" customFormat="1" x14ac:dyDescent="0.25">
      <c r="A1433" s="9"/>
      <c r="C1433" s="14"/>
      <c r="E1433" t="str">
        <f t="shared" si="4"/>
        <v/>
      </c>
      <c r="F1433" s="15" t="str">
        <f t="shared" si="5"/>
        <v/>
      </c>
      <c r="G1433">
        <f t="shared" si="8"/>
        <v>0</v>
      </c>
      <c r="H1433">
        <f t="shared" si="9"/>
        <v>0</v>
      </c>
      <c r="K1433" s="7"/>
      <c r="N1433" s="7"/>
      <c r="P1433" s="8"/>
      <c r="Q1433" s="5"/>
      <c r="R1433" s="5"/>
      <c r="AF1433" s="14"/>
    </row>
    <row r="1434" spans="1:32" customFormat="1" x14ac:dyDescent="0.25">
      <c r="A1434" s="9"/>
      <c r="C1434" s="14"/>
      <c r="E1434" t="str">
        <f t="shared" si="4"/>
        <v/>
      </c>
      <c r="F1434" s="15" t="str">
        <f t="shared" si="5"/>
        <v/>
      </c>
      <c r="G1434">
        <f t="shared" si="8"/>
        <v>0</v>
      </c>
      <c r="H1434">
        <f t="shared" si="9"/>
        <v>0</v>
      </c>
      <c r="K1434" s="7"/>
      <c r="N1434" s="7"/>
      <c r="P1434" s="8"/>
      <c r="Q1434" s="5"/>
      <c r="R1434" s="5"/>
      <c r="AF1434" s="14"/>
    </row>
    <row r="1435" spans="1:32" customFormat="1" x14ac:dyDescent="0.25">
      <c r="A1435" s="9"/>
      <c r="C1435" s="14"/>
      <c r="E1435" t="str">
        <f t="shared" ref="E1435:E1500" si="10">IF(ISNA(VLOOKUP(C1435,P:Q,2,0)),"",VLOOKUP(C1435,P:Q,2,0))</f>
        <v/>
      </c>
      <c r="F1435" s="15" t="str">
        <f t="shared" ref="F1435:F1500" si="11">IF(ISNA(VLOOKUP(C1435,P:R,3,0)),"",VLOOKUP(C1435,P:R,3,0))</f>
        <v/>
      </c>
      <c r="G1435">
        <f t="shared" si="8"/>
        <v>0</v>
      </c>
      <c r="H1435">
        <f t="shared" si="9"/>
        <v>0</v>
      </c>
      <c r="K1435" s="7"/>
      <c r="N1435" s="7"/>
      <c r="P1435" s="8"/>
      <c r="Q1435" s="5"/>
      <c r="R1435" s="5"/>
      <c r="AF1435" s="14"/>
    </row>
    <row r="1436" spans="1:32" customFormat="1" x14ac:dyDescent="0.25">
      <c r="A1436" s="9"/>
      <c r="C1436" s="14"/>
      <c r="E1436" t="str">
        <f t="shared" si="10"/>
        <v/>
      </c>
      <c r="F1436" s="15" t="str">
        <f t="shared" si="11"/>
        <v/>
      </c>
      <c r="G1436">
        <f t="shared" si="8"/>
        <v>0</v>
      </c>
      <c r="H1436">
        <f t="shared" si="9"/>
        <v>0</v>
      </c>
      <c r="K1436" s="7"/>
      <c r="N1436" s="7"/>
      <c r="P1436" s="8"/>
      <c r="Q1436" s="5"/>
      <c r="R1436" s="5"/>
      <c r="AF1436" s="14"/>
    </row>
    <row r="1437" spans="1:32" customFormat="1" x14ac:dyDescent="0.25">
      <c r="A1437" s="9"/>
      <c r="C1437" s="14"/>
      <c r="E1437" t="str">
        <f t="shared" si="10"/>
        <v/>
      </c>
      <c r="F1437" s="15" t="str">
        <f t="shared" si="11"/>
        <v/>
      </c>
      <c r="G1437">
        <f t="shared" si="8"/>
        <v>0</v>
      </c>
      <c r="H1437">
        <f t="shared" si="9"/>
        <v>0</v>
      </c>
      <c r="K1437" s="7"/>
      <c r="N1437" s="7"/>
      <c r="P1437" s="8"/>
      <c r="Q1437" s="5"/>
      <c r="R1437" s="5"/>
      <c r="AF1437" s="14"/>
    </row>
    <row r="1438" spans="1:32" customFormat="1" x14ac:dyDescent="0.25">
      <c r="A1438" s="9"/>
      <c r="C1438" s="14"/>
      <c r="E1438" t="str">
        <f t="shared" si="10"/>
        <v/>
      </c>
      <c r="F1438" s="15" t="str">
        <f t="shared" si="11"/>
        <v/>
      </c>
      <c r="G1438">
        <f t="shared" si="8"/>
        <v>0</v>
      </c>
      <c r="H1438">
        <f t="shared" si="9"/>
        <v>0</v>
      </c>
      <c r="K1438" s="7"/>
      <c r="N1438" s="7"/>
      <c r="P1438" s="8"/>
      <c r="Q1438" s="5"/>
      <c r="R1438" s="5"/>
      <c r="AF1438" s="14"/>
    </row>
    <row r="1439" spans="1:32" customFormat="1" x14ac:dyDescent="0.25">
      <c r="A1439" s="9"/>
      <c r="C1439" s="14"/>
      <c r="E1439" t="str">
        <f t="shared" si="10"/>
        <v/>
      </c>
      <c r="F1439" s="15" t="str">
        <f t="shared" si="11"/>
        <v/>
      </c>
      <c r="G1439">
        <f t="shared" si="8"/>
        <v>0</v>
      </c>
      <c r="H1439">
        <f t="shared" si="9"/>
        <v>0</v>
      </c>
      <c r="K1439" s="7"/>
      <c r="N1439" s="7"/>
      <c r="P1439" s="8"/>
      <c r="Q1439" s="5"/>
      <c r="R1439" s="5"/>
      <c r="AF1439" s="14"/>
    </row>
    <row r="1440" spans="1:32" customFormat="1" x14ac:dyDescent="0.25">
      <c r="A1440" s="9"/>
      <c r="C1440" s="14"/>
      <c r="E1440" t="str">
        <f t="shared" si="10"/>
        <v/>
      </c>
      <c r="F1440" s="15" t="str">
        <f t="shared" si="11"/>
        <v/>
      </c>
      <c r="G1440">
        <f t="shared" si="8"/>
        <v>0</v>
      </c>
      <c r="H1440">
        <f t="shared" si="9"/>
        <v>0</v>
      </c>
      <c r="K1440" s="7"/>
      <c r="N1440" s="7"/>
      <c r="P1440" s="8"/>
      <c r="Q1440" s="5"/>
      <c r="R1440" s="5"/>
      <c r="AF1440" s="14"/>
    </row>
    <row r="1441" spans="1:32" customFormat="1" x14ac:dyDescent="0.25">
      <c r="A1441" s="9"/>
      <c r="C1441" s="14"/>
      <c r="E1441" t="str">
        <f t="shared" si="10"/>
        <v/>
      </c>
      <c r="F1441" s="15" t="str">
        <f t="shared" si="11"/>
        <v/>
      </c>
      <c r="G1441">
        <f t="shared" si="8"/>
        <v>0</v>
      </c>
      <c r="H1441">
        <f t="shared" si="9"/>
        <v>0</v>
      </c>
      <c r="K1441" s="7"/>
      <c r="N1441" s="7"/>
      <c r="P1441" s="8"/>
      <c r="Q1441" s="5"/>
      <c r="R1441" s="5"/>
      <c r="AF1441" s="14"/>
    </row>
    <row r="1442" spans="1:32" customFormat="1" x14ac:dyDescent="0.25">
      <c r="A1442" s="9"/>
      <c r="C1442" s="14"/>
      <c r="E1442" t="str">
        <f t="shared" si="10"/>
        <v/>
      </c>
      <c r="F1442" s="15" t="str">
        <f t="shared" si="11"/>
        <v/>
      </c>
      <c r="G1442">
        <f t="shared" si="8"/>
        <v>0</v>
      </c>
      <c r="H1442">
        <f t="shared" si="9"/>
        <v>0</v>
      </c>
      <c r="K1442" s="7"/>
      <c r="N1442" s="7"/>
      <c r="P1442" s="8"/>
      <c r="Q1442" s="5"/>
      <c r="R1442" s="5"/>
      <c r="AF1442" s="14"/>
    </row>
    <row r="1443" spans="1:32" customFormat="1" x14ac:dyDescent="0.25">
      <c r="A1443" s="9"/>
      <c r="C1443" s="14"/>
      <c r="E1443" t="str">
        <f t="shared" si="10"/>
        <v/>
      </c>
      <c r="F1443" s="15" t="str">
        <f t="shared" si="11"/>
        <v/>
      </c>
      <c r="G1443">
        <f t="shared" si="8"/>
        <v>0</v>
      </c>
      <c r="H1443">
        <f t="shared" si="9"/>
        <v>0</v>
      </c>
      <c r="K1443" s="7"/>
      <c r="N1443" s="7"/>
      <c r="P1443" s="8"/>
      <c r="Q1443" s="5"/>
      <c r="R1443" s="5"/>
      <c r="AF1443" s="14"/>
    </row>
    <row r="1444" spans="1:32" customFormat="1" x14ac:dyDescent="0.25">
      <c r="A1444" s="9"/>
      <c r="C1444" s="14"/>
      <c r="E1444" t="str">
        <f t="shared" si="10"/>
        <v/>
      </c>
      <c r="F1444" s="15" t="str">
        <f t="shared" si="11"/>
        <v/>
      </c>
      <c r="G1444">
        <f t="shared" si="8"/>
        <v>0</v>
      </c>
      <c r="H1444">
        <f t="shared" si="9"/>
        <v>0</v>
      </c>
      <c r="K1444" s="7"/>
      <c r="N1444" s="7"/>
      <c r="P1444" s="8"/>
      <c r="Q1444" s="5"/>
      <c r="R1444" s="5"/>
      <c r="AF1444" s="14"/>
    </row>
    <row r="1445" spans="1:32" customFormat="1" x14ac:dyDescent="0.25">
      <c r="A1445" s="9"/>
      <c r="C1445" s="14"/>
      <c r="E1445" t="str">
        <f t="shared" si="10"/>
        <v/>
      </c>
      <c r="F1445" s="15" t="str">
        <f t="shared" si="11"/>
        <v/>
      </c>
      <c r="G1445">
        <f t="shared" si="8"/>
        <v>0</v>
      </c>
      <c r="H1445">
        <f t="shared" si="9"/>
        <v>0</v>
      </c>
      <c r="K1445" s="7"/>
      <c r="N1445" s="7"/>
      <c r="P1445" s="8"/>
      <c r="Q1445" s="5"/>
      <c r="R1445" s="5"/>
      <c r="AF1445" s="14"/>
    </row>
    <row r="1446" spans="1:32" customFormat="1" x14ac:dyDescent="0.25">
      <c r="A1446" s="9"/>
      <c r="C1446" s="14"/>
      <c r="E1446" t="str">
        <f t="shared" si="10"/>
        <v/>
      </c>
      <c r="F1446" s="15" t="str">
        <f t="shared" si="11"/>
        <v/>
      </c>
      <c r="G1446">
        <f t="shared" si="8"/>
        <v>0</v>
      </c>
      <c r="H1446">
        <f t="shared" si="9"/>
        <v>0</v>
      </c>
      <c r="K1446" s="7"/>
      <c r="N1446" s="7"/>
      <c r="P1446" s="8"/>
      <c r="Q1446" s="5"/>
      <c r="R1446" s="5"/>
      <c r="AF1446" s="14"/>
    </row>
    <row r="1447" spans="1:32" customFormat="1" x14ac:dyDescent="0.25">
      <c r="A1447" s="9"/>
      <c r="C1447" s="14"/>
      <c r="E1447" t="str">
        <f t="shared" si="10"/>
        <v/>
      </c>
      <c r="F1447" s="15" t="str">
        <f t="shared" si="11"/>
        <v/>
      </c>
      <c r="G1447">
        <f t="shared" si="8"/>
        <v>0</v>
      </c>
      <c r="H1447">
        <f t="shared" si="9"/>
        <v>0</v>
      </c>
      <c r="K1447" s="7"/>
      <c r="N1447" s="7"/>
      <c r="P1447" s="8"/>
      <c r="Q1447" s="5"/>
      <c r="R1447" s="5"/>
      <c r="AF1447" s="14"/>
    </row>
    <row r="1448" spans="1:32" customFormat="1" x14ac:dyDescent="0.25">
      <c r="A1448" s="9"/>
      <c r="C1448" s="14"/>
      <c r="E1448" t="str">
        <f t="shared" si="10"/>
        <v/>
      </c>
      <c r="F1448" s="15" t="str">
        <f t="shared" si="11"/>
        <v/>
      </c>
      <c r="G1448">
        <f t="shared" si="8"/>
        <v>0</v>
      </c>
      <c r="H1448">
        <f t="shared" si="9"/>
        <v>0</v>
      </c>
      <c r="K1448" s="7"/>
      <c r="N1448" s="7"/>
      <c r="P1448" s="8"/>
      <c r="Q1448" s="5"/>
      <c r="R1448" s="5"/>
      <c r="AF1448" s="14"/>
    </row>
    <row r="1449" spans="1:32" customFormat="1" x14ac:dyDescent="0.25">
      <c r="A1449" s="9"/>
      <c r="C1449" s="14"/>
      <c r="E1449" t="str">
        <f t="shared" si="10"/>
        <v/>
      </c>
      <c r="F1449" s="15" t="str">
        <f t="shared" si="11"/>
        <v/>
      </c>
      <c r="G1449">
        <f t="shared" si="8"/>
        <v>0</v>
      </c>
      <c r="H1449">
        <f t="shared" si="9"/>
        <v>0</v>
      </c>
      <c r="K1449" s="7"/>
      <c r="N1449" s="7"/>
      <c r="P1449" s="8"/>
      <c r="Q1449" s="5"/>
      <c r="R1449" s="5"/>
      <c r="AF1449" s="14"/>
    </row>
    <row r="1450" spans="1:32" customFormat="1" x14ac:dyDescent="0.25">
      <c r="A1450" s="9"/>
      <c r="C1450" s="14"/>
      <c r="E1450" t="str">
        <f t="shared" si="10"/>
        <v/>
      </c>
      <c r="F1450" s="15" t="str">
        <f t="shared" si="11"/>
        <v/>
      </c>
      <c r="G1450">
        <f t="shared" si="8"/>
        <v>0</v>
      </c>
      <c r="H1450">
        <f t="shared" si="9"/>
        <v>0</v>
      </c>
      <c r="K1450" s="7"/>
      <c r="N1450" s="7"/>
      <c r="P1450" s="8"/>
      <c r="Q1450" s="5"/>
      <c r="R1450" s="5"/>
      <c r="AF1450" s="14"/>
    </row>
    <row r="1451" spans="1:32" customFormat="1" x14ac:dyDescent="0.25">
      <c r="A1451" s="9"/>
      <c r="C1451" s="14"/>
      <c r="E1451" t="str">
        <f t="shared" si="10"/>
        <v/>
      </c>
      <c r="F1451" s="15" t="str">
        <f t="shared" si="11"/>
        <v/>
      </c>
      <c r="G1451">
        <f t="shared" si="8"/>
        <v>0</v>
      </c>
      <c r="H1451">
        <f t="shared" si="9"/>
        <v>0</v>
      </c>
      <c r="K1451" s="7"/>
      <c r="N1451" s="7"/>
      <c r="P1451" s="8"/>
      <c r="Q1451" s="5"/>
      <c r="R1451" s="5"/>
      <c r="AF1451" s="14"/>
    </row>
    <row r="1452" spans="1:32" customFormat="1" x14ac:dyDescent="0.25">
      <c r="A1452" s="9"/>
      <c r="C1452" s="14"/>
      <c r="E1452" t="str">
        <f t="shared" si="10"/>
        <v/>
      </c>
      <c r="F1452" s="15" t="str">
        <f t="shared" si="11"/>
        <v/>
      </c>
      <c r="G1452">
        <f t="shared" si="8"/>
        <v>0</v>
      </c>
      <c r="H1452">
        <f t="shared" si="9"/>
        <v>0</v>
      </c>
      <c r="K1452" s="7"/>
      <c r="N1452" s="7"/>
      <c r="P1452" s="8"/>
      <c r="Q1452" s="5"/>
      <c r="R1452" s="5"/>
      <c r="AF1452" s="14"/>
    </row>
    <row r="1453" spans="1:32" customFormat="1" x14ac:dyDescent="0.25">
      <c r="A1453" s="9"/>
      <c r="C1453" s="14"/>
      <c r="E1453" t="str">
        <f t="shared" si="10"/>
        <v/>
      </c>
      <c r="F1453" s="15" t="str">
        <f t="shared" si="11"/>
        <v/>
      </c>
      <c r="G1453">
        <f t="shared" si="8"/>
        <v>0</v>
      </c>
      <c r="H1453">
        <f t="shared" si="9"/>
        <v>0</v>
      </c>
      <c r="K1453" s="7"/>
      <c r="N1453" s="7"/>
      <c r="P1453" s="8"/>
      <c r="Q1453" s="5"/>
      <c r="R1453" s="5"/>
      <c r="AF1453" s="14"/>
    </row>
    <row r="1454" spans="1:32" customFormat="1" x14ac:dyDescent="0.25">
      <c r="A1454" s="9"/>
      <c r="C1454" s="14"/>
      <c r="E1454" t="str">
        <f t="shared" si="10"/>
        <v/>
      </c>
      <c r="F1454" s="15" t="str">
        <f t="shared" si="11"/>
        <v/>
      </c>
      <c r="G1454">
        <f t="shared" si="8"/>
        <v>0</v>
      </c>
      <c r="H1454">
        <f t="shared" si="9"/>
        <v>0</v>
      </c>
      <c r="K1454" s="7"/>
      <c r="N1454" s="7"/>
      <c r="P1454" s="8"/>
      <c r="Q1454" s="5"/>
      <c r="R1454" s="5"/>
      <c r="AF1454" s="14"/>
    </row>
    <row r="1455" spans="1:32" customFormat="1" x14ac:dyDescent="0.25">
      <c r="A1455" s="9"/>
      <c r="C1455" s="14"/>
      <c r="E1455" t="str">
        <f t="shared" si="10"/>
        <v/>
      </c>
      <c r="F1455" s="15" t="str">
        <f t="shared" si="11"/>
        <v/>
      </c>
      <c r="G1455">
        <f t="shared" si="8"/>
        <v>0</v>
      </c>
      <c r="H1455">
        <f t="shared" si="9"/>
        <v>0</v>
      </c>
      <c r="K1455" s="7"/>
      <c r="N1455" s="7"/>
      <c r="P1455" s="8"/>
      <c r="Q1455" s="5"/>
      <c r="R1455" s="5"/>
      <c r="AF1455" s="14"/>
    </row>
    <row r="1456" spans="1:32" customFormat="1" x14ac:dyDescent="0.25">
      <c r="A1456" s="9"/>
      <c r="C1456" s="14"/>
      <c r="E1456" t="str">
        <f t="shared" si="10"/>
        <v/>
      </c>
      <c r="F1456" s="15" t="str">
        <f t="shared" si="11"/>
        <v/>
      </c>
      <c r="G1456">
        <f t="shared" si="8"/>
        <v>0</v>
      </c>
      <c r="H1456">
        <f t="shared" si="9"/>
        <v>0</v>
      </c>
      <c r="K1456" s="7"/>
      <c r="N1456" s="7"/>
      <c r="P1456" s="8"/>
      <c r="Q1456" s="5"/>
      <c r="R1456" s="5"/>
      <c r="AF1456" s="14"/>
    </row>
    <row r="1457" spans="1:32" customFormat="1" x14ac:dyDescent="0.25">
      <c r="A1457" s="9"/>
      <c r="C1457" s="14"/>
      <c r="E1457" t="str">
        <f t="shared" si="10"/>
        <v/>
      </c>
      <c r="F1457" s="15" t="str">
        <f t="shared" si="11"/>
        <v/>
      </c>
      <c r="G1457">
        <f t="shared" si="8"/>
        <v>0</v>
      </c>
      <c r="H1457">
        <f t="shared" si="9"/>
        <v>0</v>
      </c>
      <c r="K1457" s="7"/>
      <c r="N1457" s="7"/>
      <c r="P1457" s="8"/>
      <c r="Q1457" s="5"/>
      <c r="R1457" s="5"/>
      <c r="AF1457" s="14"/>
    </row>
    <row r="1458" spans="1:32" customFormat="1" x14ac:dyDescent="0.25">
      <c r="A1458" s="9"/>
      <c r="C1458" s="14"/>
      <c r="E1458" t="str">
        <f t="shared" si="10"/>
        <v/>
      </c>
      <c r="F1458" s="15" t="str">
        <f t="shared" si="11"/>
        <v/>
      </c>
      <c r="G1458">
        <f t="shared" si="8"/>
        <v>0</v>
      </c>
      <c r="H1458">
        <f t="shared" si="9"/>
        <v>0</v>
      </c>
      <c r="K1458" s="7"/>
      <c r="N1458" s="7"/>
      <c r="P1458" s="8"/>
      <c r="Q1458" s="5"/>
      <c r="R1458" s="5"/>
      <c r="AF1458" s="14"/>
    </row>
    <row r="1459" spans="1:32" customFormat="1" x14ac:dyDescent="0.25">
      <c r="A1459" s="9"/>
      <c r="C1459" s="14"/>
      <c r="E1459" t="str">
        <f t="shared" si="10"/>
        <v/>
      </c>
      <c r="F1459" s="15" t="str">
        <f t="shared" si="11"/>
        <v/>
      </c>
      <c r="G1459">
        <f t="shared" si="8"/>
        <v>0</v>
      </c>
      <c r="H1459">
        <f t="shared" si="9"/>
        <v>0</v>
      </c>
      <c r="K1459" s="7"/>
      <c r="N1459" s="7"/>
      <c r="P1459" s="8"/>
      <c r="Q1459" s="5"/>
      <c r="R1459" s="5"/>
      <c r="AF1459" s="14"/>
    </row>
    <row r="1460" spans="1:32" customFormat="1" x14ac:dyDescent="0.25">
      <c r="A1460" s="9"/>
      <c r="C1460" s="14"/>
      <c r="E1460" t="str">
        <f t="shared" si="10"/>
        <v/>
      </c>
      <c r="F1460" s="15" t="str">
        <f t="shared" si="11"/>
        <v/>
      </c>
      <c r="G1460">
        <f t="shared" si="8"/>
        <v>0</v>
      </c>
      <c r="H1460">
        <f t="shared" si="9"/>
        <v>0</v>
      </c>
      <c r="K1460" s="7"/>
      <c r="N1460" s="7"/>
      <c r="P1460" s="8"/>
      <c r="Q1460" s="5"/>
      <c r="R1460" s="5"/>
      <c r="AF1460" s="14"/>
    </row>
    <row r="1461" spans="1:32" customFormat="1" x14ac:dyDescent="0.25">
      <c r="A1461" s="9"/>
      <c r="C1461" s="14"/>
      <c r="E1461" t="str">
        <f t="shared" si="10"/>
        <v/>
      </c>
      <c r="F1461" s="15" t="str">
        <f t="shared" si="11"/>
        <v/>
      </c>
      <c r="G1461">
        <f t="shared" si="8"/>
        <v>0</v>
      </c>
      <c r="H1461">
        <f t="shared" si="9"/>
        <v>0</v>
      </c>
      <c r="K1461" s="7"/>
      <c r="N1461" s="7"/>
      <c r="P1461" s="8"/>
      <c r="Q1461" s="5"/>
      <c r="R1461" s="5"/>
      <c r="AF1461" s="14"/>
    </row>
    <row r="1462" spans="1:32" customFormat="1" x14ac:dyDescent="0.25">
      <c r="A1462" s="9"/>
      <c r="C1462" s="14"/>
      <c r="E1462" t="str">
        <f t="shared" si="10"/>
        <v/>
      </c>
      <c r="F1462" s="15" t="str">
        <f t="shared" si="11"/>
        <v/>
      </c>
      <c r="G1462">
        <f t="shared" si="8"/>
        <v>0</v>
      </c>
      <c r="H1462">
        <f t="shared" si="9"/>
        <v>0</v>
      </c>
      <c r="K1462" s="7"/>
      <c r="N1462" s="7"/>
      <c r="P1462" s="8"/>
      <c r="Q1462" s="5"/>
      <c r="R1462" s="5"/>
      <c r="AF1462" s="14"/>
    </row>
    <row r="1463" spans="1:32" customFormat="1" x14ac:dyDescent="0.25">
      <c r="A1463" s="9"/>
      <c r="C1463" s="14"/>
      <c r="E1463" t="str">
        <f t="shared" si="10"/>
        <v/>
      </c>
      <c r="F1463" s="15" t="str">
        <f t="shared" si="11"/>
        <v/>
      </c>
      <c r="G1463">
        <f t="shared" si="8"/>
        <v>0</v>
      </c>
      <c r="H1463">
        <f t="shared" si="9"/>
        <v>0</v>
      </c>
      <c r="K1463" s="7"/>
      <c r="N1463" s="7"/>
      <c r="P1463" s="8"/>
      <c r="Q1463" s="5"/>
      <c r="R1463" s="5"/>
      <c r="AF1463" s="14"/>
    </row>
    <row r="1464" spans="1:32" customFormat="1" x14ac:dyDescent="0.25">
      <c r="A1464" s="9"/>
      <c r="C1464" s="14"/>
      <c r="E1464" t="str">
        <f t="shared" si="10"/>
        <v/>
      </c>
      <c r="F1464" s="15" t="str">
        <f t="shared" si="11"/>
        <v/>
      </c>
      <c r="G1464">
        <f t="shared" si="8"/>
        <v>0</v>
      </c>
      <c r="H1464">
        <f t="shared" si="9"/>
        <v>0</v>
      </c>
      <c r="K1464" s="7"/>
      <c r="N1464" s="7"/>
      <c r="P1464" s="8"/>
      <c r="Q1464" s="5"/>
      <c r="R1464" s="5"/>
      <c r="AF1464" s="14"/>
    </row>
    <row r="1465" spans="1:32" customFormat="1" x14ac:dyDescent="0.25">
      <c r="A1465" s="9"/>
      <c r="C1465" s="14"/>
      <c r="E1465" t="str">
        <f t="shared" si="10"/>
        <v/>
      </c>
      <c r="F1465" s="15" t="str">
        <f t="shared" si="11"/>
        <v/>
      </c>
      <c r="G1465">
        <f t="shared" si="8"/>
        <v>0</v>
      </c>
      <c r="H1465">
        <f t="shared" si="9"/>
        <v>0</v>
      </c>
      <c r="K1465" s="7"/>
      <c r="N1465" s="7"/>
      <c r="P1465" s="8"/>
      <c r="Q1465" s="5"/>
      <c r="R1465" s="5"/>
      <c r="AF1465" s="14"/>
    </row>
    <row r="1466" spans="1:32" customFormat="1" x14ac:dyDescent="0.25">
      <c r="A1466" s="9"/>
      <c r="C1466" s="14"/>
      <c r="E1466" t="str">
        <f t="shared" si="10"/>
        <v/>
      </c>
      <c r="F1466" s="15" t="str">
        <f t="shared" si="11"/>
        <v/>
      </c>
      <c r="G1466">
        <f t="shared" si="8"/>
        <v>0</v>
      </c>
      <c r="H1466">
        <f t="shared" si="9"/>
        <v>0</v>
      </c>
      <c r="K1466" s="7"/>
      <c r="N1466" s="7"/>
      <c r="P1466" s="8"/>
      <c r="Q1466" s="5"/>
      <c r="R1466" s="5"/>
      <c r="AF1466" s="14"/>
    </row>
    <row r="1467" spans="1:32" customFormat="1" x14ac:dyDescent="0.25">
      <c r="A1467" s="9"/>
      <c r="C1467" s="14"/>
      <c r="E1467" t="str">
        <f t="shared" si="10"/>
        <v/>
      </c>
      <c r="F1467" s="15" t="str">
        <f t="shared" si="11"/>
        <v/>
      </c>
      <c r="G1467">
        <f t="shared" si="8"/>
        <v>0</v>
      </c>
      <c r="H1467">
        <f t="shared" si="9"/>
        <v>0</v>
      </c>
      <c r="K1467" s="7"/>
      <c r="N1467" s="7"/>
      <c r="P1467" s="8"/>
      <c r="Q1467" s="5"/>
      <c r="R1467" s="5"/>
      <c r="AF1467" s="14"/>
    </row>
    <row r="1468" spans="1:32" customFormat="1" x14ac:dyDescent="0.25">
      <c r="A1468" s="9"/>
      <c r="C1468" s="14"/>
      <c r="E1468" t="str">
        <f t="shared" si="10"/>
        <v/>
      </c>
      <c r="F1468" s="15" t="str">
        <f t="shared" si="11"/>
        <v/>
      </c>
      <c r="G1468">
        <f t="shared" si="8"/>
        <v>0</v>
      </c>
      <c r="H1468">
        <f t="shared" si="9"/>
        <v>0</v>
      </c>
      <c r="K1468" s="7"/>
      <c r="N1468" s="7"/>
      <c r="P1468" s="8"/>
      <c r="Q1468" s="5"/>
      <c r="R1468" s="5"/>
      <c r="AF1468" s="14"/>
    </row>
    <row r="1469" spans="1:32" customFormat="1" x14ac:dyDescent="0.25">
      <c r="A1469" s="9"/>
      <c r="C1469" s="14"/>
      <c r="E1469" t="str">
        <f t="shared" si="10"/>
        <v/>
      </c>
      <c r="F1469" s="15" t="str">
        <f t="shared" si="11"/>
        <v/>
      </c>
      <c r="G1469">
        <f t="shared" si="8"/>
        <v>0</v>
      </c>
      <c r="H1469">
        <f t="shared" si="9"/>
        <v>0</v>
      </c>
      <c r="K1469" s="7"/>
      <c r="N1469" s="7"/>
      <c r="P1469" s="8"/>
      <c r="Q1469" s="5"/>
      <c r="R1469" s="5"/>
      <c r="AF1469" s="14"/>
    </row>
    <row r="1470" spans="1:32" customFormat="1" x14ac:dyDescent="0.25">
      <c r="A1470" s="9"/>
      <c r="C1470" s="14"/>
      <c r="E1470" t="str">
        <f t="shared" si="10"/>
        <v/>
      </c>
      <c r="F1470" s="15" t="str">
        <f t="shared" si="11"/>
        <v/>
      </c>
      <c r="G1470">
        <f t="shared" si="8"/>
        <v>0</v>
      </c>
      <c r="H1470">
        <f t="shared" si="9"/>
        <v>0</v>
      </c>
      <c r="K1470" s="7"/>
      <c r="N1470" s="7"/>
      <c r="P1470" s="8"/>
      <c r="Q1470" s="5"/>
      <c r="R1470" s="5"/>
      <c r="AF1470" s="14"/>
    </row>
    <row r="1471" spans="1:32" customFormat="1" x14ac:dyDescent="0.25">
      <c r="A1471" s="9"/>
      <c r="C1471" s="14"/>
      <c r="E1471" t="str">
        <f t="shared" si="10"/>
        <v/>
      </c>
      <c r="F1471" s="15" t="str">
        <f t="shared" si="11"/>
        <v/>
      </c>
      <c r="G1471">
        <f t="shared" si="8"/>
        <v>0</v>
      </c>
      <c r="H1471">
        <f t="shared" si="9"/>
        <v>0</v>
      </c>
      <c r="K1471" s="7"/>
      <c r="N1471" s="7"/>
      <c r="P1471" s="8"/>
      <c r="Q1471" s="5"/>
      <c r="R1471" s="5"/>
      <c r="AF1471" s="14"/>
    </row>
    <row r="1472" spans="1:32" customFormat="1" x14ac:dyDescent="0.25">
      <c r="A1472" s="9"/>
      <c r="C1472" s="14"/>
      <c r="E1472" t="str">
        <f t="shared" si="10"/>
        <v/>
      </c>
      <c r="F1472" s="15" t="str">
        <f t="shared" si="11"/>
        <v/>
      </c>
      <c r="G1472">
        <f t="shared" si="8"/>
        <v>0</v>
      </c>
      <c r="H1472">
        <f t="shared" si="9"/>
        <v>0</v>
      </c>
      <c r="K1472" s="7"/>
      <c r="N1472" s="7"/>
      <c r="P1472" s="8"/>
      <c r="Q1472" s="5"/>
      <c r="R1472" s="5"/>
      <c r="AF1472" s="14"/>
    </row>
    <row r="1473" spans="1:32" customFormat="1" x14ac:dyDescent="0.25">
      <c r="A1473" s="9"/>
      <c r="C1473" s="14"/>
      <c r="E1473" t="str">
        <f t="shared" si="10"/>
        <v/>
      </c>
      <c r="F1473" s="15" t="str">
        <f t="shared" si="11"/>
        <v/>
      </c>
      <c r="G1473">
        <f t="shared" si="8"/>
        <v>0</v>
      </c>
      <c r="H1473">
        <f t="shared" si="9"/>
        <v>0</v>
      </c>
      <c r="K1473" s="7"/>
      <c r="N1473" s="7"/>
      <c r="P1473" s="8"/>
      <c r="Q1473" s="5"/>
      <c r="R1473" s="5"/>
      <c r="AF1473" s="14"/>
    </row>
    <row r="1474" spans="1:32" customFormat="1" x14ac:dyDescent="0.25">
      <c r="A1474" s="9"/>
      <c r="C1474" s="14"/>
      <c r="E1474" t="str">
        <f t="shared" si="10"/>
        <v/>
      </c>
      <c r="F1474" s="15" t="str">
        <f t="shared" si="11"/>
        <v/>
      </c>
      <c r="G1474">
        <f t="shared" si="8"/>
        <v>0</v>
      </c>
      <c r="H1474">
        <f t="shared" si="9"/>
        <v>0</v>
      </c>
      <c r="K1474" s="7"/>
      <c r="N1474" s="7"/>
      <c r="P1474" s="8"/>
      <c r="Q1474" s="5"/>
      <c r="R1474" s="5"/>
      <c r="AF1474" s="14"/>
    </row>
    <row r="1475" spans="1:32" customFormat="1" x14ac:dyDescent="0.25">
      <c r="A1475" s="9"/>
      <c r="C1475" s="14"/>
      <c r="E1475" t="str">
        <f t="shared" si="10"/>
        <v/>
      </c>
      <c r="F1475" s="15" t="str">
        <f t="shared" si="11"/>
        <v/>
      </c>
      <c r="G1475">
        <f t="shared" si="8"/>
        <v>0</v>
      </c>
      <c r="H1475">
        <f t="shared" si="9"/>
        <v>0</v>
      </c>
      <c r="K1475" s="7"/>
      <c r="N1475" s="7"/>
      <c r="P1475" s="8"/>
      <c r="Q1475" s="5"/>
      <c r="R1475" s="5"/>
      <c r="AF1475" s="14"/>
    </row>
    <row r="1476" spans="1:32" customFormat="1" x14ac:dyDescent="0.25">
      <c r="A1476" s="9"/>
      <c r="C1476" s="14"/>
      <c r="E1476" t="str">
        <f t="shared" si="10"/>
        <v/>
      </c>
      <c r="F1476" s="15" t="str">
        <f t="shared" si="11"/>
        <v/>
      </c>
      <c r="G1476">
        <f t="shared" ref="G1476:G1500" si="12">ROUND(IF(D1476&gt;0,0,ABS(D1476)),2)</f>
        <v>0</v>
      </c>
      <c r="H1476">
        <f t="shared" ref="H1476:H1500" si="13">ROUND(IF(D1476&gt;0,D1476,),2)</f>
        <v>0</v>
      </c>
      <c r="K1476" s="7"/>
      <c r="N1476" s="7"/>
      <c r="P1476" s="8"/>
      <c r="Q1476" s="5"/>
      <c r="R1476" s="5"/>
      <c r="AF1476" s="14"/>
    </row>
    <row r="1477" spans="1:32" customFormat="1" x14ac:dyDescent="0.25">
      <c r="A1477" s="9"/>
      <c r="C1477" s="14"/>
      <c r="E1477" t="str">
        <f t="shared" si="10"/>
        <v/>
      </c>
      <c r="F1477" s="15" t="str">
        <f t="shared" si="11"/>
        <v/>
      </c>
      <c r="G1477">
        <f t="shared" si="12"/>
        <v>0</v>
      </c>
      <c r="H1477">
        <f t="shared" si="13"/>
        <v>0</v>
      </c>
      <c r="K1477" s="7"/>
      <c r="N1477" s="7"/>
      <c r="P1477" s="8"/>
      <c r="Q1477" s="5"/>
      <c r="R1477" s="5"/>
      <c r="AF1477" s="14"/>
    </row>
    <row r="1478" spans="1:32" customFormat="1" x14ac:dyDescent="0.25">
      <c r="A1478" s="9"/>
      <c r="C1478" s="14"/>
      <c r="E1478" t="str">
        <f t="shared" si="10"/>
        <v/>
      </c>
      <c r="F1478" s="15" t="str">
        <f t="shared" si="11"/>
        <v/>
      </c>
      <c r="G1478">
        <f t="shared" si="12"/>
        <v>0</v>
      </c>
      <c r="H1478">
        <f t="shared" si="13"/>
        <v>0</v>
      </c>
      <c r="K1478" s="7"/>
      <c r="N1478" s="7"/>
      <c r="P1478" s="8"/>
      <c r="Q1478" s="5"/>
      <c r="R1478" s="5"/>
      <c r="AF1478" s="14"/>
    </row>
    <row r="1479" spans="1:32" customFormat="1" x14ac:dyDescent="0.25">
      <c r="A1479" s="9"/>
      <c r="C1479" s="14"/>
      <c r="E1479" t="str">
        <f t="shared" si="10"/>
        <v/>
      </c>
      <c r="F1479" s="15" t="str">
        <f t="shared" si="11"/>
        <v/>
      </c>
      <c r="G1479">
        <f t="shared" si="12"/>
        <v>0</v>
      </c>
      <c r="H1479">
        <f t="shared" si="13"/>
        <v>0</v>
      </c>
      <c r="K1479" s="7"/>
      <c r="N1479" s="7"/>
      <c r="P1479" s="8"/>
      <c r="Q1479" s="5"/>
      <c r="R1479" s="5"/>
      <c r="AF1479" s="14"/>
    </row>
    <row r="1480" spans="1:32" customFormat="1" x14ac:dyDescent="0.25">
      <c r="A1480" s="9"/>
      <c r="C1480" s="14"/>
      <c r="E1480" t="str">
        <f t="shared" si="10"/>
        <v/>
      </c>
      <c r="F1480" s="15" t="str">
        <f t="shared" si="11"/>
        <v/>
      </c>
      <c r="G1480">
        <f t="shared" si="12"/>
        <v>0</v>
      </c>
      <c r="H1480">
        <f t="shared" si="13"/>
        <v>0</v>
      </c>
      <c r="K1480" s="7"/>
      <c r="N1480" s="7"/>
      <c r="P1480" s="8"/>
      <c r="Q1480" s="5"/>
      <c r="R1480" s="5"/>
      <c r="AF1480" s="14"/>
    </row>
    <row r="1481" spans="1:32" customFormat="1" x14ac:dyDescent="0.25">
      <c r="A1481" s="9"/>
      <c r="C1481" s="14"/>
      <c r="E1481" t="str">
        <f t="shared" si="10"/>
        <v/>
      </c>
      <c r="F1481" s="15" t="str">
        <f t="shared" si="11"/>
        <v/>
      </c>
      <c r="G1481">
        <f t="shared" si="12"/>
        <v>0</v>
      </c>
      <c r="H1481">
        <f t="shared" si="13"/>
        <v>0</v>
      </c>
      <c r="K1481" s="7"/>
      <c r="N1481" s="7"/>
      <c r="P1481" s="8"/>
      <c r="Q1481" s="5"/>
      <c r="R1481" s="5"/>
      <c r="AF1481" s="14"/>
    </row>
    <row r="1482" spans="1:32" customFormat="1" x14ac:dyDescent="0.25">
      <c r="A1482" s="9"/>
      <c r="C1482" s="14"/>
      <c r="E1482" t="str">
        <f t="shared" si="10"/>
        <v/>
      </c>
      <c r="F1482" s="15" t="str">
        <f t="shared" si="11"/>
        <v/>
      </c>
      <c r="G1482">
        <f t="shared" si="12"/>
        <v>0</v>
      </c>
      <c r="H1482">
        <f t="shared" si="13"/>
        <v>0</v>
      </c>
      <c r="K1482" s="7"/>
      <c r="N1482" s="7"/>
      <c r="P1482" s="8"/>
      <c r="Q1482" s="5"/>
      <c r="R1482" s="5"/>
      <c r="AF1482" s="14"/>
    </row>
    <row r="1483" spans="1:32" customFormat="1" x14ac:dyDescent="0.25">
      <c r="A1483" s="9"/>
      <c r="C1483" s="14"/>
      <c r="E1483" t="str">
        <f t="shared" si="10"/>
        <v/>
      </c>
      <c r="F1483" s="15" t="str">
        <f t="shared" si="11"/>
        <v/>
      </c>
      <c r="G1483">
        <f t="shared" si="12"/>
        <v>0</v>
      </c>
      <c r="H1483">
        <f t="shared" si="13"/>
        <v>0</v>
      </c>
      <c r="K1483" s="7"/>
      <c r="N1483" s="7"/>
      <c r="P1483" s="8"/>
      <c r="Q1483" s="5"/>
      <c r="R1483" s="5"/>
      <c r="AF1483" s="14"/>
    </row>
    <row r="1484" spans="1:32" customFormat="1" x14ac:dyDescent="0.25">
      <c r="A1484" s="9"/>
      <c r="C1484" s="14"/>
      <c r="E1484" t="str">
        <f t="shared" si="10"/>
        <v/>
      </c>
      <c r="F1484" s="15" t="str">
        <f t="shared" si="11"/>
        <v/>
      </c>
      <c r="G1484">
        <f t="shared" si="12"/>
        <v>0</v>
      </c>
      <c r="H1484">
        <f t="shared" si="13"/>
        <v>0</v>
      </c>
      <c r="K1484" s="7"/>
      <c r="N1484" s="7"/>
      <c r="P1484" s="8"/>
      <c r="Q1484" s="5"/>
      <c r="R1484" s="5"/>
      <c r="AF1484" s="14"/>
    </row>
    <row r="1485" spans="1:32" customFormat="1" x14ac:dyDescent="0.25">
      <c r="A1485" s="9"/>
      <c r="C1485" s="14"/>
      <c r="E1485" t="str">
        <f t="shared" si="10"/>
        <v/>
      </c>
      <c r="F1485" s="15" t="str">
        <f t="shared" si="11"/>
        <v/>
      </c>
      <c r="G1485">
        <f t="shared" si="12"/>
        <v>0</v>
      </c>
      <c r="H1485">
        <f t="shared" si="13"/>
        <v>0</v>
      </c>
      <c r="K1485" s="7"/>
      <c r="N1485" s="7"/>
      <c r="P1485" s="8"/>
      <c r="Q1485" s="5"/>
      <c r="R1485" s="5"/>
      <c r="AF1485" s="14"/>
    </row>
    <row r="1486" spans="1:32" customFormat="1" x14ac:dyDescent="0.25">
      <c r="A1486" s="9"/>
      <c r="C1486" s="14"/>
      <c r="E1486" t="str">
        <f t="shared" si="10"/>
        <v/>
      </c>
      <c r="F1486" s="15" t="str">
        <f t="shared" si="11"/>
        <v/>
      </c>
      <c r="G1486">
        <f t="shared" si="12"/>
        <v>0</v>
      </c>
      <c r="H1486">
        <f t="shared" si="13"/>
        <v>0</v>
      </c>
      <c r="K1486" s="7"/>
      <c r="N1486" s="7"/>
      <c r="P1486" s="8"/>
      <c r="Q1486" s="5"/>
      <c r="R1486" s="5"/>
      <c r="AF1486" s="14"/>
    </row>
    <row r="1487" spans="1:32" customFormat="1" x14ac:dyDescent="0.25">
      <c r="A1487" s="9"/>
      <c r="C1487" s="14"/>
      <c r="E1487" t="str">
        <f t="shared" si="10"/>
        <v/>
      </c>
      <c r="F1487" s="15" t="str">
        <f t="shared" si="11"/>
        <v/>
      </c>
      <c r="G1487">
        <f t="shared" si="12"/>
        <v>0</v>
      </c>
      <c r="H1487">
        <f t="shared" si="13"/>
        <v>0</v>
      </c>
      <c r="K1487" s="7"/>
      <c r="N1487" s="7"/>
      <c r="P1487" s="8"/>
      <c r="Q1487" s="5"/>
      <c r="R1487" s="5"/>
      <c r="AF1487" s="14"/>
    </row>
    <row r="1488" spans="1:32" customFormat="1" x14ac:dyDescent="0.25">
      <c r="A1488" s="9"/>
      <c r="C1488" s="14"/>
      <c r="E1488" t="str">
        <f t="shared" si="10"/>
        <v/>
      </c>
      <c r="F1488" s="15" t="str">
        <f t="shared" si="11"/>
        <v/>
      </c>
      <c r="G1488">
        <f t="shared" si="12"/>
        <v>0</v>
      </c>
      <c r="H1488">
        <f t="shared" si="13"/>
        <v>0</v>
      </c>
      <c r="K1488" s="7"/>
      <c r="N1488" s="7"/>
      <c r="P1488" s="8"/>
      <c r="Q1488" s="5"/>
      <c r="R1488" s="5"/>
      <c r="AF1488" s="14"/>
    </row>
    <row r="1489" spans="1:32" customFormat="1" x14ac:dyDescent="0.25">
      <c r="A1489" s="9"/>
      <c r="C1489" s="14"/>
      <c r="E1489" t="str">
        <f t="shared" si="10"/>
        <v/>
      </c>
      <c r="F1489" s="15" t="str">
        <f t="shared" si="11"/>
        <v/>
      </c>
      <c r="G1489">
        <f t="shared" si="12"/>
        <v>0</v>
      </c>
      <c r="H1489">
        <f t="shared" si="13"/>
        <v>0</v>
      </c>
      <c r="K1489" s="7"/>
      <c r="N1489" s="7"/>
      <c r="P1489" s="8"/>
      <c r="Q1489" s="5"/>
      <c r="R1489" s="5"/>
      <c r="AF1489" s="14"/>
    </row>
    <row r="1490" spans="1:32" customFormat="1" x14ac:dyDescent="0.25">
      <c r="A1490" s="9"/>
      <c r="C1490" s="14"/>
      <c r="E1490" t="str">
        <f t="shared" si="10"/>
        <v/>
      </c>
      <c r="F1490" s="15" t="str">
        <f t="shared" si="11"/>
        <v/>
      </c>
      <c r="G1490">
        <f t="shared" si="12"/>
        <v>0</v>
      </c>
      <c r="H1490">
        <f t="shared" si="13"/>
        <v>0</v>
      </c>
      <c r="K1490" s="7"/>
      <c r="N1490" s="7"/>
      <c r="P1490" s="8"/>
      <c r="Q1490" s="5"/>
      <c r="R1490" s="5"/>
      <c r="AF1490" s="14"/>
    </row>
    <row r="1491" spans="1:32" customFormat="1" x14ac:dyDescent="0.25">
      <c r="A1491" s="9"/>
      <c r="C1491" s="14"/>
      <c r="E1491" t="str">
        <f t="shared" si="10"/>
        <v/>
      </c>
      <c r="F1491" s="15" t="str">
        <f t="shared" si="11"/>
        <v/>
      </c>
      <c r="G1491">
        <f t="shared" si="12"/>
        <v>0</v>
      </c>
      <c r="H1491">
        <f t="shared" si="13"/>
        <v>0</v>
      </c>
      <c r="K1491" s="7"/>
      <c r="N1491" s="7"/>
      <c r="P1491" s="8"/>
      <c r="Q1491" s="5"/>
      <c r="R1491" s="5"/>
      <c r="AF1491" s="14"/>
    </row>
    <row r="1492" spans="1:32" customFormat="1" x14ac:dyDescent="0.25">
      <c r="A1492" s="9"/>
      <c r="C1492" s="14"/>
      <c r="E1492" t="str">
        <f t="shared" si="10"/>
        <v/>
      </c>
      <c r="F1492" s="15" t="str">
        <f t="shared" si="11"/>
        <v/>
      </c>
      <c r="G1492">
        <f t="shared" si="12"/>
        <v>0</v>
      </c>
      <c r="H1492">
        <f t="shared" si="13"/>
        <v>0</v>
      </c>
      <c r="K1492" s="7"/>
      <c r="N1492" s="7"/>
      <c r="P1492" s="8"/>
      <c r="Q1492" s="5"/>
      <c r="R1492" s="5"/>
      <c r="AF1492" s="14"/>
    </row>
    <row r="1493" spans="1:32" customFormat="1" x14ac:dyDescent="0.25">
      <c r="A1493" s="9"/>
      <c r="C1493" s="14"/>
      <c r="E1493" t="str">
        <f t="shared" si="10"/>
        <v/>
      </c>
      <c r="F1493" s="15" t="str">
        <f t="shared" si="11"/>
        <v/>
      </c>
      <c r="G1493">
        <f t="shared" si="12"/>
        <v>0</v>
      </c>
      <c r="H1493">
        <f t="shared" si="13"/>
        <v>0</v>
      </c>
      <c r="K1493" s="7"/>
      <c r="N1493" s="7"/>
      <c r="P1493" s="8"/>
      <c r="Q1493" s="5"/>
      <c r="R1493" s="5"/>
      <c r="AF1493" s="14"/>
    </row>
    <row r="1494" spans="1:32" customFormat="1" x14ac:dyDescent="0.25">
      <c r="A1494" s="9"/>
      <c r="C1494" s="14"/>
      <c r="E1494" t="str">
        <f t="shared" si="10"/>
        <v/>
      </c>
      <c r="F1494" s="15" t="str">
        <f t="shared" si="11"/>
        <v/>
      </c>
      <c r="G1494">
        <f t="shared" si="12"/>
        <v>0</v>
      </c>
      <c r="H1494">
        <f t="shared" si="13"/>
        <v>0</v>
      </c>
      <c r="K1494" s="7"/>
      <c r="N1494" s="7"/>
      <c r="P1494" s="8"/>
      <c r="Q1494" s="5"/>
      <c r="R1494" s="5"/>
      <c r="AF1494" s="14"/>
    </row>
    <row r="1495" spans="1:32" customFormat="1" x14ac:dyDescent="0.25">
      <c r="A1495" s="9"/>
      <c r="C1495" s="14"/>
      <c r="E1495" t="str">
        <f t="shared" si="10"/>
        <v/>
      </c>
      <c r="F1495" s="15" t="str">
        <f t="shared" si="11"/>
        <v/>
      </c>
      <c r="G1495">
        <f t="shared" si="12"/>
        <v>0</v>
      </c>
      <c r="H1495">
        <f t="shared" si="13"/>
        <v>0</v>
      </c>
      <c r="K1495" s="7"/>
      <c r="N1495" s="7"/>
      <c r="P1495" s="8"/>
      <c r="Q1495" s="5"/>
      <c r="R1495" s="5"/>
      <c r="AF1495" s="14"/>
    </row>
    <row r="1496" spans="1:32" customFormat="1" x14ac:dyDescent="0.25">
      <c r="A1496" s="9"/>
      <c r="C1496" s="14"/>
      <c r="E1496" t="str">
        <f t="shared" si="10"/>
        <v/>
      </c>
      <c r="F1496" s="15" t="str">
        <f t="shared" si="11"/>
        <v/>
      </c>
      <c r="G1496">
        <f t="shared" si="12"/>
        <v>0</v>
      </c>
      <c r="H1496">
        <f t="shared" si="13"/>
        <v>0</v>
      </c>
      <c r="K1496" s="7"/>
      <c r="N1496" s="7"/>
      <c r="P1496" s="8"/>
      <c r="Q1496" s="5"/>
      <c r="R1496" s="5"/>
      <c r="AF1496" s="14"/>
    </row>
    <row r="1497" spans="1:32" customFormat="1" x14ac:dyDescent="0.25">
      <c r="A1497" s="9"/>
      <c r="C1497" s="14"/>
      <c r="E1497" t="str">
        <f t="shared" si="10"/>
        <v/>
      </c>
      <c r="F1497" s="15" t="str">
        <f t="shared" si="11"/>
        <v/>
      </c>
      <c r="G1497">
        <f t="shared" si="12"/>
        <v>0</v>
      </c>
      <c r="H1497">
        <f t="shared" si="13"/>
        <v>0</v>
      </c>
      <c r="K1497" s="7"/>
      <c r="N1497" s="7"/>
      <c r="P1497" s="8"/>
      <c r="Q1497" s="5"/>
      <c r="R1497" s="5"/>
      <c r="AF1497" s="14"/>
    </row>
    <row r="1498" spans="1:32" customFormat="1" x14ac:dyDescent="0.25">
      <c r="A1498" s="9"/>
      <c r="C1498" s="14"/>
      <c r="E1498" t="str">
        <f t="shared" si="10"/>
        <v/>
      </c>
      <c r="F1498" s="15" t="str">
        <f t="shared" si="11"/>
        <v/>
      </c>
      <c r="G1498">
        <f t="shared" si="12"/>
        <v>0</v>
      </c>
      <c r="H1498">
        <f t="shared" si="13"/>
        <v>0</v>
      </c>
      <c r="K1498" s="7"/>
      <c r="N1498" s="7"/>
      <c r="P1498" s="8"/>
      <c r="Q1498" s="5"/>
      <c r="R1498" s="5"/>
      <c r="AF1498" s="14"/>
    </row>
    <row r="1499" spans="1:32" customFormat="1" x14ac:dyDescent="0.25">
      <c r="A1499" s="9"/>
      <c r="C1499" s="14"/>
      <c r="E1499" t="str">
        <f t="shared" si="10"/>
        <v/>
      </c>
      <c r="F1499" s="15" t="str">
        <f t="shared" si="11"/>
        <v/>
      </c>
      <c r="G1499">
        <f t="shared" si="12"/>
        <v>0</v>
      </c>
      <c r="H1499">
        <f t="shared" si="13"/>
        <v>0</v>
      </c>
      <c r="K1499" s="7"/>
      <c r="N1499" s="7"/>
      <c r="P1499" s="8"/>
      <c r="Q1499" s="5"/>
      <c r="R1499" s="5"/>
      <c r="AF1499" s="14"/>
    </row>
    <row r="1500" spans="1:32" customFormat="1" x14ac:dyDescent="0.25">
      <c r="A1500" s="9"/>
      <c r="C1500" s="14"/>
      <c r="E1500" t="str">
        <f t="shared" si="10"/>
        <v/>
      </c>
      <c r="F1500" s="15" t="str">
        <f t="shared" si="11"/>
        <v/>
      </c>
      <c r="G1500">
        <f t="shared" si="12"/>
        <v>0</v>
      </c>
      <c r="H1500">
        <f t="shared" si="13"/>
        <v>0</v>
      </c>
      <c r="K1500" s="7"/>
      <c r="N1500" s="7"/>
      <c r="P1500" s="8"/>
      <c r="Q1500" s="5"/>
      <c r="R1500" s="5"/>
      <c r="AF1500" s="14"/>
    </row>
  </sheetData>
  <sortState ref="A3:J1400">
    <sortCondition ref="A3"/>
  </sortState>
  <mergeCells count="10">
    <mergeCell ref="Q2:Q3"/>
    <mergeCell ref="R2:R3"/>
    <mergeCell ref="B1:B2"/>
    <mergeCell ref="O1:S1"/>
    <mergeCell ref="C1:C2"/>
    <mergeCell ref="D1:D2"/>
    <mergeCell ref="E1:E2"/>
    <mergeCell ref="F1:F2"/>
    <mergeCell ref="P2:P3"/>
    <mergeCell ref="G1:J1"/>
  </mergeCells>
  <conditionalFormatting sqref="B3:B1500">
    <cfRule type="notContainsText" dxfId="0" priority="6" operator="notContains" text="USD">
      <formula>ISERROR(SEARCH("USD",B3))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autoLine="0" r:id="rId5">
            <anchor moveWithCells="1">
              <from>
                <xdr:col>11</xdr:col>
                <xdr:colOff>152400</xdr:colOff>
                <xdr:row>16</xdr:row>
                <xdr:rowOff>180975</xdr:rowOff>
              </from>
              <to>
                <xdr:col>12</xdr:col>
                <xdr:colOff>704850</xdr:colOff>
                <xdr:row>18</xdr:row>
                <xdr:rowOff>114300</xdr:rowOff>
              </to>
            </anchor>
          </controlPr>
        </control>
      </mc:Choice>
      <mc:Fallback>
        <control shapeId="1029" r:id="rId4" name="CommandButton4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11</xdr:col>
                <xdr:colOff>295275</xdr:colOff>
                <xdr:row>8</xdr:row>
                <xdr:rowOff>28575</xdr:rowOff>
              </from>
              <to>
                <xdr:col>12</xdr:col>
                <xdr:colOff>466725</xdr:colOff>
                <xdr:row>9</xdr:row>
                <xdr:rowOff>152400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11</xdr:col>
                <xdr:colOff>304800</xdr:colOff>
                <xdr:row>10</xdr:row>
                <xdr:rowOff>76200</xdr:rowOff>
              </from>
              <to>
                <xdr:col>12</xdr:col>
                <xdr:colOff>476250</xdr:colOff>
                <xdr:row>12</xdr:row>
                <xdr:rowOff>142875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8" r:id="rId10" name="CommandButton3">
          <controlPr defaultSize="0" autoLine="0" r:id="rId11">
            <anchor moveWithCells="1">
              <from>
                <xdr:col>11</xdr:col>
                <xdr:colOff>142875</xdr:colOff>
                <xdr:row>14</xdr:row>
                <xdr:rowOff>85725</xdr:rowOff>
              </from>
              <to>
                <xdr:col>12</xdr:col>
                <xdr:colOff>695325</xdr:colOff>
                <xdr:row>16</xdr:row>
                <xdr:rowOff>19050</xdr:rowOff>
              </to>
            </anchor>
          </controlPr>
        </control>
      </mc:Choice>
      <mc:Fallback>
        <control shapeId="1028" r:id="rId1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70C0"/>
  </sheetPr>
  <dimension ref="A1:J553"/>
  <sheetViews>
    <sheetView workbookViewId="0">
      <pane ySplit="2" topLeftCell="A103" activePane="bottomLeft" state="frozen"/>
      <selection pane="bottomLeft" activeCell="A117" sqref="A117:XFD117"/>
    </sheetView>
  </sheetViews>
  <sheetFormatPr defaultRowHeight="15" x14ac:dyDescent="0.25"/>
  <cols>
    <col min="3" max="3" width="1.5703125" style="55" customWidth="1"/>
    <col min="5" max="5" width="15" customWidth="1"/>
    <col min="6" max="6" width="17.7109375" customWidth="1"/>
    <col min="7" max="7" width="1.5703125" style="55" customWidth="1"/>
    <col min="9" max="9" width="15.28515625" customWidth="1"/>
    <col min="10" max="10" width="23.85546875" customWidth="1"/>
  </cols>
  <sheetData>
    <row r="1" spans="1:10" s="34" customFormat="1" ht="10.5" customHeight="1" x14ac:dyDescent="0.25">
      <c r="A1" s="47" t="s">
        <v>206</v>
      </c>
      <c r="B1" s="51" t="s">
        <v>207</v>
      </c>
      <c r="C1" s="55"/>
      <c r="D1" s="57" t="s">
        <v>208</v>
      </c>
      <c r="E1" s="53" t="s">
        <v>27</v>
      </c>
      <c r="F1" s="49" t="s">
        <v>28</v>
      </c>
      <c r="G1" s="55"/>
      <c r="H1" s="59" t="s">
        <v>209</v>
      </c>
      <c r="I1" s="49" t="s">
        <v>27</v>
      </c>
      <c r="J1" s="49" t="s">
        <v>233</v>
      </c>
    </row>
    <row r="2" spans="1:10" s="34" customFormat="1" ht="7.5" customHeight="1" x14ac:dyDescent="0.25">
      <c r="A2" s="48"/>
      <c r="B2" s="52"/>
      <c r="C2" s="56"/>
      <c r="D2" s="58"/>
      <c r="E2" s="54"/>
      <c r="F2" s="50"/>
      <c r="G2" s="56"/>
      <c r="H2" s="60"/>
      <c r="I2" s="50"/>
      <c r="J2" s="50"/>
    </row>
    <row r="3" spans="1:10" x14ac:dyDescent="0.25">
      <c r="A3" s="27" t="s">
        <v>84</v>
      </c>
      <c r="B3" t="s">
        <v>161</v>
      </c>
      <c r="C3" s="56"/>
      <c r="D3" s="31" t="s">
        <v>29</v>
      </c>
      <c r="E3" t="s">
        <v>213</v>
      </c>
      <c r="F3" s="31" t="s">
        <v>236</v>
      </c>
      <c r="G3" s="56"/>
      <c r="H3" t="s">
        <v>32</v>
      </c>
      <c r="I3" t="s">
        <v>213</v>
      </c>
      <c r="J3" t="s">
        <v>237</v>
      </c>
    </row>
    <row r="4" spans="1:10" x14ac:dyDescent="0.25">
      <c r="A4" s="27" t="s">
        <v>81</v>
      </c>
      <c r="B4" t="s">
        <v>158</v>
      </c>
      <c r="C4" s="56"/>
      <c r="D4" s="31" t="s">
        <v>29</v>
      </c>
      <c r="E4" t="s">
        <v>213</v>
      </c>
      <c r="F4" s="31" t="s">
        <v>236</v>
      </c>
      <c r="G4" s="56"/>
      <c r="H4" t="s">
        <v>32</v>
      </c>
      <c r="I4" t="s">
        <v>213</v>
      </c>
      <c r="J4" t="s">
        <v>237</v>
      </c>
    </row>
    <row r="5" spans="1:10" x14ac:dyDescent="0.25">
      <c r="A5" s="27" t="s">
        <v>82</v>
      </c>
      <c r="B5" t="s">
        <v>159</v>
      </c>
      <c r="C5" s="56"/>
      <c r="D5" s="31" t="s">
        <v>29</v>
      </c>
      <c r="E5" t="s">
        <v>213</v>
      </c>
      <c r="F5" s="31" t="s">
        <v>236</v>
      </c>
      <c r="G5" s="56"/>
      <c r="H5" t="s">
        <v>32</v>
      </c>
      <c r="I5" t="s">
        <v>213</v>
      </c>
      <c r="J5" t="s">
        <v>237</v>
      </c>
    </row>
    <row r="6" spans="1:10" x14ac:dyDescent="0.25">
      <c r="A6" s="27" t="s">
        <v>63</v>
      </c>
      <c r="B6" t="s">
        <v>141</v>
      </c>
      <c r="C6" s="56"/>
      <c r="D6" s="31" t="s">
        <v>29</v>
      </c>
      <c r="E6" t="s">
        <v>213</v>
      </c>
      <c r="F6" s="31" t="s">
        <v>236</v>
      </c>
      <c r="G6" s="56"/>
      <c r="H6" t="s">
        <v>32</v>
      </c>
      <c r="I6" t="s">
        <v>213</v>
      </c>
      <c r="J6" t="s">
        <v>237</v>
      </c>
    </row>
    <row r="7" spans="1:10" x14ac:dyDescent="0.25">
      <c r="A7" s="27" t="s">
        <v>66</v>
      </c>
      <c r="B7" t="s">
        <v>143</v>
      </c>
      <c r="C7" s="56"/>
      <c r="D7" s="31" t="s">
        <v>29</v>
      </c>
      <c r="E7" t="s">
        <v>213</v>
      </c>
      <c r="F7" s="31" t="s">
        <v>236</v>
      </c>
      <c r="G7" s="56"/>
      <c r="H7" t="s">
        <v>32</v>
      </c>
      <c r="I7" t="s">
        <v>213</v>
      </c>
      <c r="J7" t="s">
        <v>237</v>
      </c>
    </row>
    <row r="8" spans="1:10" x14ac:dyDescent="0.25">
      <c r="A8" s="27" t="s">
        <v>65</v>
      </c>
      <c r="B8" t="s">
        <v>142</v>
      </c>
      <c r="C8" s="56"/>
      <c r="D8" s="31" t="s">
        <v>29</v>
      </c>
      <c r="E8" t="s">
        <v>213</v>
      </c>
      <c r="F8" s="31" t="s">
        <v>236</v>
      </c>
      <c r="G8" s="56"/>
      <c r="H8" t="s">
        <v>32</v>
      </c>
      <c r="I8" t="s">
        <v>213</v>
      </c>
      <c r="J8" t="s">
        <v>237</v>
      </c>
    </row>
    <row r="9" spans="1:10" x14ac:dyDescent="0.25">
      <c r="A9" s="27" t="s">
        <v>67</v>
      </c>
      <c r="B9" t="s">
        <v>144</v>
      </c>
      <c r="C9" s="56"/>
      <c r="D9" s="31" t="s">
        <v>29</v>
      </c>
      <c r="E9" t="s">
        <v>213</v>
      </c>
      <c r="F9" s="31" t="s">
        <v>236</v>
      </c>
      <c r="G9" s="56"/>
      <c r="H9" t="s">
        <v>32</v>
      </c>
      <c r="I9" t="s">
        <v>213</v>
      </c>
      <c r="J9" t="s">
        <v>237</v>
      </c>
    </row>
    <row r="10" spans="1:10" x14ac:dyDescent="0.25">
      <c r="A10" s="27" t="s">
        <v>64</v>
      </c>
      <c r="B10" t="s">
        <v>136</v>
      </c>
      <c r="C10" s="56"/>
      <c r="D10" s="31" t="s">
        <v>29</v>
      </c>
      <c r="E10" t="s">
        <v>213</v>
      </c>
      <c r="F10" s="31" t="s">
        <v>236</v>
      </c>
      <c r="G10" s="56"/>
      <c r="H10" t="s">
        <v>32</v>
      </c>
      <c r="I10" t="s">
        <v>213</v>
      </c>
      <c r="J10" t="s">
        <v>237</v>
      </c>
    </row>
    <row r="11" spans="1:10" x14ac:dyDescent="0.25">
      <c r="A11" s="27" t="s">
        <v>71</v>
      </c>
      <c r="B11" t="s">
        <v>148</v>
      </c>
      <c r="C11" s="56"/>
      <c r="D11" s="31" t="s">
        <v>29</v>
      </c>
      <c r="E11" t="s">
        <v>213</v>
      </c>
      <c r="F11" s="31" t="s">
        <v>236</v>
      </c>
      <c r="G11" s="56"/>
      <c r="H11" t="s">
        <v>32</v>
      </c>
      <c r="I11" t="s">
        <v>213</v>
      </c>
      <c r="J11" t="s">
        <v>237</v>
      </c>
    </row>
    <row r="12" spans="1:10" x14ac:dyDescent="0.25">
      <c r="A12" s="27" t="s">
        <v>75</v>
      </c>
      <c r="B12" t="s">
        <v>152</v>
      </c>
      <c r="C12" s="56"/>
      <c r="D12" s="31" t="s">
        <v>29</v>
      </c>
      <c r="E12" t="s">
        <v>213</v>
      </c>
      <c r="F12" s="31" t="s">
        <v>236</v>
      </c>
      <c r="G12" s="56"/>
      <c r="H12" t="s">
        <v>32</v>
      </c>
      <c r="I12" t="s">
        <v>213</v>
      </c>
      <c r="J12" t="s">
        <v>237</v>
      </c>
    </row>
    <row r="13" spans="1:10" x14ac:dyDescent="0.25">
      <c r="A13" s="27" t="s">
        <v>78</v>
      </c>
      <c r="B13" t="s">
        <v>155</v>
      </c>
      <c r="C13" s="56"/>
      <c r="D13" s="31" t="s">
        <v>29</v>
      </c>
      <c r="E13" t="s">
        <v>213</v>
      </c>
      <c r="F13" s="31" t="s">
        <v>236</v>
      </c>
      <c r="G13" s="56"/>
      <c r="H13" t="s">
        <v>32</v>
      </c>
      <c r="I13" t="s">
        <v>213</v>
      </c>
      <c r="J13" t="s">
        <v>237</v>
      </c>
    </row>
    <row r="14" spans="1:10" x14ac:dyDescent="0.25">
      <c r="A14" s="27" t="s">
        <v>76</v>
      </c>
      <c r="B14" t="s">
        <v>153</v>
      </c>
      <c r="C14" s="56"/>
      <c r="D14" s="31" t="s">
        <v>29</v>
      </c>
      <c r="E14" t="s">
        <v>213</v>
      </c>
      <c r="F14" s="31" t="s">
        <v>236</v>
      </c>
      <c r="G14" s="56"/>
      <c r="H14" t="s">
        <v>32</v>
      </c>
      <c r="I14" t="s">
        <v>213</v>
      </c>
      <c r="J14" t="s">
        <v>237</v>
      </c>
    </row>
    <row r="15" spans="1:10" x14ac:dyDescent="0.25">
      <c r="A15" s="27" t="s">
        <v>79</v>
      </c>
      <c r="B15" t="s">
        <v>156</v>
      </c>
      <c r="C15" s="56"/>
      <c r="D15" s="31" t="s">
        <v>29</v>
      </c>
      <c r="E15" t="s">
        <v>213</v>
      </c>
      <c r="F15" s="31" t="s">
        <v>236</v>
      </c>
      <c r="G15" s="56"/>
      <c r="H15" t="s">
        <v>32</v>
      </c>
      <c r="I15" t="s">
        <v>213</v>
      </c>
      <c r="J15" t="s">
        <v>237</v>
      </c>
    </row>
    <row r="16" spans="1:10" x14ac:dyDescent="0.25">
      <c r="A16" s="27" t="s">
        <v>69</v>
      </c>
      <c r="B16" t="s">
        <v>146</v>
      </c>
      <c r="C16" s="56"/>
      <c r="D16" s="31" t="s">
        <v>29</v>
      </c>
      <c r="E16" t="s">
        <v>213</v>
      </c>
      <c r="F16" s="31" t="s">
        <v>236</v>
      </c>
      <c r="G16" s="56"/>
      <c r="H16" t="s">
        <v>32</v>
      </c>
      <c r="I16" t="s">
        <v>213</v>
      </c>
      <c r="J16" t="s">
        <v>237</v>
      </c>
    </row>
    <row r="17" spans="1:10" x14ac:dyDescent="0.25">
      <c r="A17" s="27" t="s">
        <v>68</v>
      </c>
      <c r="B17" t="s">
        <v>145</v>
      </c>
      <c r="C17" s="56"/>
      <c r="D17" s="31" t="s">
        <v>29</v>
      </c>
      <c r="E17" t="s">
        <v>213</v>
      </c>
      <c r="F17" s="31" t="s">
        <v>236</v>
      </c>
      <c r="G17" s="56"/>
      <c r="H17" t="s">
        <v>32</v>
      </c>
      <c r="I17" t="s">
        <v>213</v>
      </c>
      <c r="J17" t="s">
        <v>237</v>
      </c>
    </row>
    <row r="18" spans="1:10" x14ac:dyDescent="0.25">
      <c r="A18" s="27" t="s">
        <v>73</v>
      </c>
      <c r="B18" t="s">
        <v>150</v>
      </c>
      <c r="C18" s="56"/>
      <c r="D18" s="31" t="s">
        <v>29</v>
      </c>
      <c r="E18" t="s">
        <v>213</v>
      </c>
      <c r="F18" s="31" t="s">
        <v>236</v>
      </c>
      <c r="G18" s="56"/>
      <c r="H18" t="s">
        <v>32</v>
      </c>
      <c r="I18" t="s">
        <v>213</v>
      </c>
      <c r="J18" t="s">
        <v>237</v>
      </c>
    </row>
    <row r="19" spans="1:10" x14ac:dyDescent="0.25">
      <c r="A19" s="27" t="s">
        <v>74</v>
      </c>
      <c r="B19" t="s">
        <v>151</v>
      </c>
      <c r="C19" s="56"/>
      <c r="D19" s="31" t="s">
        <v>29</v>
      </c>
      <c r="E19" t="s">
        <v>213</v>
      </c>
      <c r="F19" s="31" t="s">
        <v>236</v>
      </c>
      <c r="G19" s="56"/>
      <c r="H19" t="s">
        <v>32</v>
      </c>
      <c r="I19" t="s">
        <v>213</v>
      </c>
      <c r="J19" t="s">
        <v>237</v>
      </c>
    </row>
    <row r="20" spans="1:10" x14ac:dyDescent="0.25">
      <c r="A20" s="27" t="s">
        <v>72</v>
      </c>
      <c r="B20" t="s">
        <v>149</v>
      </c>
      <c r="C20" s="56"/>
      <c r="D20" s="31" t="s">
        <v>29</v>
      </c>
      <c r="E20" t="s">
        <v>213</v>
      </c>
      <c r="F20" s="31" t="s">
        <v>236</v>
      </c>
      <c r="G20" s="56"/>
      <c r="H20" t="s">
        <v>32</v>
      </c>
      <c r="I20" t="s">
        <v>213</v>
      </c>
      <c r="J20" t="s">
        <v>237</v>
      </c>
    </row>
    <row r="21" spans="1:10" x14ac:dyDescent="0.25">
      <c r="A21" s="27" t="s">
        <v>70</v>
      </c>
      <c r="B21" t="s">
        <v>147</v>
      </c>
      <c r="C21" s="56"/>
      <c r="D21" s="31" t="s">
        <v>29</v>
      </c>
      <c r="E21" t="s">
        <v>213</v>
      </c>
      <c r="F21" s="31" t="s">
        <v>236</v>
      </c>
      <c r="G21" s="56"/>
      <c r="H21" t="s">
        <v>32</v>
      </c>
      <c r="I21" t="s">
        <v>213</v>
      </c>
      <c r="J21" t="s">
        <v>237</v>
      </c>
    </row>
    <row r="22" spans="1:10" x14ac:dyDescent="0.25">
      <c r="A22" s="27" t="s">
        <v>80</v>
      </c>
      <c r="B22" t="s">
        <v>157</v>
      </c>
      <c r="C22" s="56"/>
      <c r="D22" s="31" t="s">
        <v>29</v>
      </c>
      <c r="E22" t="s">
        <v>213</v>
      </c>
      <c r="F22" s="31" t="s">
        <v>236</v>
      </c>
      <c r="G22" s="56"/>
      <c r="H22" t="s">
        <v>32</v>
      </c>
      <c r="I22" t="s">
        <v>213</v>
      </c>
      <c r="J22" t="s">
        <v>237</v>
      </c>
    </row>
    <row r="23" spans="1:10" x14ac:dyDescent="0.25">
      <c r="A23" s="27" t="s">
        <v>77</v>
      </c>
      <c r="B23" t="s">
        <v>154</v>
      </c>
      <c r="C23" s="56"/>
      <c r="D23" s="31" t="s">
        <v>29</v>
      </c>
      <c r="E23" t="s">
        <v>213</v>
      </c>
      <c r="F23" s="31" t="s">
        <v>236</v>
      </c>
      <c r="G23" s="56"/>
      <c r="H23" t="s">
        <v>32</v>
      </c>
      <c r="I23" t="s">
        <v>213</v>
      </c>
      <c r="J23" t="s">
        <v>237</v>
      </c>
    </row>
    <row r="24" spans="1:10" x14ac:dyDescent="0.25">
      <c r="A24" s="27" t="s">
        <v>83</v>
      </c>
      <c r="B24" t="s">
        <v>160</v>
      </c>
      <c r="C24" s="56"/>
      <c r="D24" s="31" t="s">
        <v>29</v>
      </c>
      <c r="E24" t="s">
        <v>213</v>
      </c>
      <c r="F24" s="31" t="s">
        <v>236</v>
      </c>
      <c r="G24" s="56"/>
      <c r="H24" t="s">
        <v>32</v>
      </c>
      <c r="I24" t="s">
        <v>213</v>
      </c>
      <c r="J24" t="s">
        <v>237</v>
      </c>
    </row>
    <row r="25" spans="1:10" x14ac:dyDescent="0.25">
      <c r="A25" s="27" t="s">
        <v>31</v>
      </c>
      <c r="B25" t="s">
        <v>125</v>
      </c>
      <c r="C25" s="56"/>
      <c r="D25" s="31" t="s">
        <v>29</v>
      </c>
      <c r="E25" t="s">
        <v>213</v>
      </c>
      <c r="F25" s="31" t="s">
        <v>238</v>
      </c>
      <c r="G25" s="56"/>
      <c r="H25" t="s">
        <v>32</v>
      </c>
      <c r="I25" t="s">
        <v>213</v>
      </c>
      <c r="J25" t="s">
        <v>239</v>
      </c>
    </row>
    <row r="26" spans="1:10" x14ac:dyDescent="0.25">
      <c r="A26" s="27" t="s">
        <v>240</v>
      </c>
      <c r="B26" t="s">
        <v>241</v>
      </c>
      <c r="C26" s="56"/>
      <c r="D26" s="31" t="s">
        <v>29</v>
      </c>
      <c r="E26" t="s">
        <v>213</v>
      </c>
      <c r="F26" s="31" t="s">
        <v>242</v>
      </c>
      <c r="G26" s="56"/>
      <c r="H26" t="s">
        <v>32</v>
      </c>
      <c r="I26" t="s">
        <v>213</v>
      </c>
      <c r="J26" t="s">
        <v>243</v>
      </c>
    </row>
    <row r="27" spans="1:10" x14ac:dyDescent="0.25">
      <c r="A27" s="27" t="s">
        <v>33</v>
      </c>
      <c r="B27" t="s">
        <v>113</v>
      </c>
      <c r="C27" s="56"/>
      <c r="D27" s="31" t="s">
        <v>29</v>
      </c>
      <c r="E27" t="s">
        <v>213</v>
      </c>
      <c r="F27" s="31" t="s">
        <v>244</v>
      </c>
      <c r="G27" s="56"/>
      <c r="H27" t="s">
        <v>32</v>
      </c>
      <c r="I27" t="s">
        <v>213</v>
      </c>
      <c r="J27" t="s">
        <v>245</v>
      </c>
    </row>
    <row r="28" spans="1:10" x14ac:dyDescent="0.25">
      <c r="A28" s="27" t="s">
        <v>35</v>
      </c>
      <c r="B28" t="s">
        <v>115</v>
      </c>
      <c r="C28" s="56"/>
      <c r="D28" s="31" t="s">
        <v>29</v>
      </c>
      <c r="E28" t="s">
        <v>213</v>
      </c>
      <c r="F28" s="31" t="s">
        <v>244</v>
      </c>
      <c r="G28" s="56"/>
      <c r="H28" t="s">
        <v>32</v>
      </c>
      <c r="I28" t="s">
        <v>213</v>
      </c>
      <c r="J28" t="s">
        <v>245</v>
      </c>
    </row>
    <row r="29" spans="1:10" x14ac:dyDescent="0.25">
      <c r="A29" s="27" t="s">
        <v>36</v>
      </c>
      <c r="B29" t="s">
        <v>116</v>
      </c>
      <c r="C29" s="56"/>
      <c r="D29" s="31" t="s">
        <v>29</v>
      </c>
      <c r="E29" t="s">
        <v>213</v>
      </c>
      <c r="F29" s="31" t="s">
        <v>244</v>
      </c>
      <c r="G29" s="56"/>
      <c r="H29" t="s">
        <v>32</v>
      </c>
      <c r="I29" t="s">
        <v>213</v>
      </c>
      <c r="J29" t="s">
        <v>245</v>
      </c>
    </row>
    <row r="30" spans="1:10" x14ac:dyDescent="0.25">
      <c r="A30" s="27" t="s">
        <v>37</v>
      </c>
      <c r="B30" t="s">
        <v>117</v>
      </c>
      <c r="C30" s="56"/>
      <c r="D30" s="31" t="s">
        <v>29</v>
      </c>
      <c r="E30" t="s">
        <v>213</v>
      </c>
      <c r="F30" s="31" t="s">
        <v>244</v>
      </c>
      <c r="G30" s="56"/>
      <c r="H30" t="s">
        <v>32</v>
      </c>
      <c r="I30" t="s">
        <v>213</v>
      </c>
      <c r="J30" t="s">
        <v>245</v>
      </c>
    </row>
    <row r="31" spans="1:10" x14ac:dyDescent="0.25">
      <c r="A31" s="27" t="s">
        <v>38</v>
      </c>
      <c r="B31" t="s">
        <v>118</v>
      </c>
      <c r="C31" s="56"/>
      <c r="D31" s="31" t="s">
        <v>29</v>
      </c>
      <c r="E31" t="s">
        <v>213</v>
      </c>
      <c r="F31" s="31" t="s">
        <v>246</v>
      </c>
      <c r="G31" s="56"/>
      <c r="H31" t="s">
        <v>32</v>
      </c>
      <c r="I31" t="s">
        <v>213</v>
      </c>
      <c r="J31" t="s">
        <v>247</v>
      </c>
    </row>
    <row r="32" spans="1:10" x14ac:dyDescent="0.25">
      <c r="A32" s="27" t="s">
        <v>39</v>
      </c>
      <c r="B32" t="s">
        <v>119</v>
      </c>
      <c r="C32" s="56"/>
      <c r="D32" s="31" t="s">
        <v>29</v>
      </c>
      <c r="E32" t="s">
        <v>213</v>
      </c>
      <c r="F32" s="31" t="s">
        <v>246</v>
      </c>
      <c r="G32" s="56"/>
      <c r="H32" t="s">
        <v>32</v>
      </c>
      <c r="I32" t="s">
        <v>213</v>
      </c>
      <c r="J32" t="s">
        <v>247</v>
      </c>
    </row>
    <row r="33" spans="1:10" x14ac:dyDescent="0.25">
      <c r="A33" s="27" t="s">
        <v>40</v>
      </c>
      <c r="B33" t="s">
        <v>120</v>
      </c>
      <c r="C33" s="56"/>
      <c r="D33" s="31" t="s">
        <v>29</v>
      </c>
      <c r="E33" t="s">
        <v>213</v>
      </c>
      <c r="F33" s="31" t="s">
        <v>246</v>
      </c>
      <c r="G33" s="56"/>
      <c r="H33" t="s">
        <v>32</v>
      </c>
      <c r="I33" t="s">
        <v>213</v>
      </c>
      <c r="J33" t="s">
        <v>247</v>
      </c>
    </row>
    <row r="34" spans="1:10" x14ac:dyDescent="0.25">
      <c r="A34" s="27" t="s">
        <v>41</v>
      </c>
      <c r="B34" t="s">
        <v>121</v>
      </c>
      <c r="C34" s="56"/>
      <c r="D34" s="31" t="s">
        <v>29</v>
      </c>
      <c r="E34" t="s">
        <v>213</v>
      </c>
      <c r="F34" s="31" t="s">
        <v>246</v>
      </c>
      <c r="G34" s="56"/>
      <c r="H34" t="s">
        <v>32</v>
      </c>
      <c r="I34" t="s">
        <v>213</v>
      </c>
      <c r="J34" t="s">
        <v>247</v>
      </c>
    </row>
    <row r="35" spans="1:10" x14ac:dyDescent="0.25">
      <c r="A35" s="27" t="s">
        <v>42</v>
      </c>
      <c r="B35" t="s">
        <v>122</v>
      </c>
      <c r="C35" s="56"/>
      <c r="D35" s="31" t="s">
        <v>29</v>
      </c>
      <c r="E35" t="s">
        <v>213</v>
      </c>
      <c r="F35" s="31" t="s">
        <v>246</v>
      </c>
      <c r="G35" s="56"/>
      <c r="H35" t="s">
        <v>32</v>
      </c>
      <c r="I35" t="s">
        <v>213</v>
      </c>
      <c r="J35" t="s">
        <v>247</v>
      </c>
    </row>
    <row r="36" spans="1:10" x14ac:dyDescent="0.25">
      <c r="A36" s="27" t="s">
        <v>43</v>
      </c>
      <c r="B36" t="s">
        <v>123</v>
      </c>
      <c r="C36" s="56"/>
      <c r="D36" s="31" t="s">
        <v>29</v>
      </c>
      <c r="E36" t="s">
        <v>213</v>
      </c>
      <c r="F36" s="31" t="s">
        <v>246</v>
      </c>
      <c r="G36" s="56"/>
      <c r="H36" t="s">
        <v>32</v>
      </c>
      <c r="I36" t="s">
        <v>213</v>
      </c>
      <c r="J36" t="s">
        <v>247</v>
      </c>
    </row>
    <row r="37" spans="1:10" x14ac:dyDescent="0.25">
      <c r="A37" s="27" t="s">
        <v>44</v>
      </c>
      <c r="B37" t="s">
        <v>124</v>
      </c>
      <c r="C37" s="56"/>
      <c r="D37" s="31" t="s">
        <v>29</v>
      </c>
      <c r="E37" t="s">
        <v>213</v>
      </c>
      <c r="F37" s="31" t="s">
        <v>246</v>
      </c>
      <c r="G37" s="56"/>
      <c r="H37" t="s">
        <v>32</v>
      </c>
      <c r="I37" t="s">
        <v>213</v>
      </c>
      <c r="J37" t="s">
        <v>247</v>
      </c>
    </row>
    <row r="38" spans="1:10" x14ac:dyDescent="0.25">
      <c r="A38" s="27" t="s">
        <v>62</v>
      </c>
      <c r="B38" t="s">
        <v>140</v>
      </c>
      <c r="C38" s="56"/>
      <c r="D38" s="31" t="s">
        <v>29</v>
      </c>
      <c r="E38" t="s">
        <v>213</v>
      </c>
      <c r="F38" s="31" t="s">
        <v>248</v>
      </c>
      <c r="G38" s="56"/>
      <c r="H38" t="s">
        <v>32</v>
      </c>
      <c r="I38" t="s">
        <v>213</v>
      </c>
      <c r="J38" t="s">
        <v>249</v>
      </c>
    </row>
    <row r="39" spans="1:10" x14ac:dyDescent="0.25">
      <c r="A39" s="27" t="s">
        <v>112</v>
      </c>
      <c r="B39" t="s">
        <v>190</v>
      </c>
      <c r="C39" s="56"/>
      <c r="D39" s="31">
        <v>100175</v>
      </c>
      <c r="E39" t="s">
        <v>213</v>
      </c>
      <c r="F39" s="31" t="s">
        <v>250</v>
      </c>
      <c r="G39" s="56"/>
      <c r="H39" t="s">
        <v>212</v>
      </c>
      <c r="I39" t="s">
        <v>213</v>
      </c>
      <c r="J39" t="s">
        <v>251</v>
      </c>
    </row>
    <row r="40" spans="1:10" x14ac:dyDescent="0.25">
      <c r="A40" s="27" t="s">
        <v>215</v>
      </c>
      <c r="B40" t="s">
        <v>182</v>
      </c>
      <c r="C40" s="56"/>
      <c r="D40" s="31">
        <v>100175</v>
      </c>
      <c r="E40" t="s">
        <v>213</v>
      </c>
      <c r="F40" s="31" t="s">
        <v>250</v>
      </c>
      <c r="G40" s="56"/>
      <c r="H40" t="s">
        <v>212</v>
      </c>
      <c r="I40" t="s">
        <v>213</v>
      </c>
      <c r="J40" t="s">
        <v>251</v>
      </c>
    </row>
    <row r="41" spans="1:10" x14ac:dyDescent="0.25">
      <c r="A41" s="27" t="s">
        <v>85</v>
      </c>
      <c r="B41" t="s">
        <v>162</v>
      </c>
      <c r="C41" s="56"/>
      <c r="D41" s="31" t="s">
        <v>29</v>
      </c>
      <c r="E41" t="s">
        <v>213</v>
      </c>
      <c r="F41" s="31" t="s">
        <v>252</v>
      </c>
      <c r="G41" s="56"/>
      <c r="H41" t="s">
        <v>32</v>
      </c>
      <c r="I41" t="s">
        <v>213</v>
      </c>
      <c r="J41" t="s">
        <v>253</v>
      </c>
    </row>
    <row r="42" spans="1:10" x14ac:dyDescent="0.25">
      <c r="A42" s="27" t="s">
        <v>87</v>
      </c>
      <c r="B42" t="s">
        <v>164</v>
      </c>
      <c r="C42" s="56"/>
      <c r="D42" s="31" t="s">
        <v>29</v>
      </c>
      <c r="E42" t="s">
        <v>213</v>
      </c>
      <c r="F42" s="31" t="s">
        <v>252</v>
      </c>
      <c r="G42" s="56"/>
      <c r="H42" t="s">
        <v>32</v>
      </c>
      <c r="I42" t="s">
        <v>213</v>
      </c>
      <c r="J42" t="s">
        <v>253</v>
      </c>
    </row>
    <row r="43" spans="1:10" x14ac:dyDescent="0.25">
      <c r="A43" s="27" t="s">
        <v>86</v>
      </c>
      <c r="B43" t="s">
        <v>163</v>
      </c>
      <c r="C43" s="56"/>
      <c r="D43" s="31" t="s">
        <v>29</v>
      </c>
      <c r="E43" t="s">
        <v>213</v>
      </c>
      <c r="F43" s="31" t="s">
        <v>252</v>
      </c>
      <c r="G43" s="56"/>
      <c r="H43" t="s">
        <v>32</v>
      </c>
      <c r="I43" t="s">
        <v>213</v>
      </c>
      <c r="J43" t="s">
        <v>253</v>
      </c>
    </row>
    <row r="44" spans="1:10" x14ac:dyDescent="0.25">
      <c r="A44" s="27" t="s">
        <v>89</v>
      </c>
      <c r="B44" t="s">
        <v>166</v>
      </c>
      <c r="C44" s="56"/>
      <c r="D44" s="31" t="s">
        <v>29</v>
      </c>
      <c r="E44" t="s">
        <v>213</v>
      </c>
      <c r="F44" s="31" t="s">
        <v>254</v>
      </c>
      <c r="G44" s="56"/>
      <c r="H44" t="s">
        <v>32</v>
      </c>
      <c r="I44" t="s">
        <v>213</v>
      </c>
      <c r="J44" t="s">
        <v>255</v>
      </c>
    </row>
    <row r="45" spans="1:10" x14ac:dyDescent="0.25">
      <c r="A45" s="27" t="s">
        <v>91</v>
      </c>
      <c r="B45" t="s">
        <v>168</v>
      </c>
      <c r="C45" s="56"/>
      <c r="D45" s="31" t="s">
        <v>29</v>
      </c>
      <c r="E45" t="s">
        <v>213</v>
      </c>
      <c r="F45" s="31" t="s">
        <v>254</v>
      </c>
      <c r="G45" s="56"/>
      <c r="H45" t="s">
        <v>32</v>
      </c>
      <c r="I45" t="s">
        <v>213</v>
      </c>
      <c r="J45" t="s">
        <v>255</v>
      </c>
    </row>
    <row r="46" spans="1:10" x14ac:dyDescent="0.25">
      <c r="A46" s="27" t="s">
        <v>92</v>
      </c>
      <c r="B46" t="s">
        <v>170</v>
      </c>
      <c r="C46" s="56"/>
      <c r="D46" s="31" t="s">
        <v>29</v>
      </c>
      <c r="E46" t="s">
        <v>213</v>
      </c>
      <c r="F46" s="31" t="s">
        <v>254</v>
      </c>
      <c r="G46" s="56"/>
      <c r="H46" t="s">
        <v>32</v>
      </c>
      <c r="I46" t="s">
        <v>213</v>
      </c>
      <c r="J46" t="s">
        <v>255</v>
      </c>
    </row>
    <row r="47" spans="1:10" x14ac:dyDescent="0.25">
      <c r="A47" s="27" t="s">
        <v>94</v>
      </c>
      <c r="B47" t="s">
        <v>172</v>
      </c>
      <c r="C47" s="56"/>
      <c r="D47" s="31" t="s">
        <v>29</v>
      </c>
      <c r="E47" t="s">
        <v>213</v>
      </c>
      <c r="F47" s="31" t="s">
        <v>256</v>
      </c>
      <c r="G47" s="56"/>
      <c r="H47" t="s">
        <v>32</v>
      </c>
      <c r="I47" t="s">
        <v>213</v>
      </c>
      <c r="J47" t="s">
        <v>257</v>
      </c>
    </row>
    <row r="48" spans="1:10" x14ac:dyDescent="0.25">
      <c r="A48" s="27" t="s">
        <v>95</v>
      </c>
      <c r="B48" t="s">
        <v>173</v>
      </c>
      <c r="C48" s="56"/>
      <c r="D48" s="31" t="s">
        <v>29</v>
      </c>
      <c r="E48" t="s">
        <v>213</v>
      </c>
      <c r="F48" s="31" t="s">
        <v>256</v>
      </c>
      <c r="G48" s="56"/>
      <c r="H48" t="s">
        <v>32</v>
      </c>
      <c r="I48" t="s">
        <v>213</v>
      </c>
      <c r="J48" t="s">
        <v>257</v>
      </c>
    </row>
    <row r="49" spans="1:10" x14ac:dyDescent="0.25">
      <c r="A49" s="27" t="s">
        <v>96</v>
      </c>
      <c r="B49" t="s">
        <v>174</v>
      </c>
      <c r="C49" s="56"/>
      <c r="D49" s="31" t="s">
        <v>29</v>
      </c>
      <c r="E49" t="s">
        <v>213</v>
      </c>
      <c r="F49" s="31" t="s">
        <v>256</v>
      </c>
      <c r="G49" s="56"/>
      <c r="H49" t="s">
        <v>32</v>
      </c>
      <c r="I49" t="s">
        <v>213</v>
      </c>
      <c r="J49" t="s">
        <v>257</v>
      </c>
    </row>
    <row r="50" spans="1:10" x14ac:dyDescent="0.25">
      <c r="A50" s="27" t="s">
        <v>97</v>
      </c>
      <c r="B50" t="s">
        <v>175</v>
      </c>
      <c r="C50" s="56"/>
      <c r="D50" s="31" t="s">
        <v>29</v>
      </c>
      <c r="E50" t="s">
        <v>213</v>
      </c>
      <c r="F50" s="31" t="s">
        <v>256</v>
      </c>
      <c r="G50" s="56"/>
      <c r="H50" t="s">
        <v>32</v>
      </c>
      <c r="I50" t="s">
        <v>213</v>
      </c>
      <c r="J50" t="s">
        <v>257</v>
      </c>
    </row>
    <row r="51" spans="1:10" x14ac:dyDescent="0.25">
      <c r="A51" s="27" t="s">
        <v>102</v>
      </c>
      <c r="B51" t="s">
        <v>180</v>
      </c>
      <c r="C51" s="56"/>
      <c r="D51" s="31" t="s">
        <v>29</v>
      </c>
      <c r="E51" t="s">
        <v>213</v>
      </c>
      <c r="F51" s="31" t="s">
        <v>258</v>
      </c>
      <c r="G51" s="56"/>
      <c r="H51" t="s">
        <v>32</v>
      </c>
      <c r="I51" t="s">
        <v>213</v>
      </c>
      <c r="J51" t="s">
        <v>259</v>
      </c>
    </row>
    <row r="52" spans="1:10" x14ac:dyDescent="0.25">
      <c r="A52" s="27" t="s">
        <v>216</v>
      </c>
      <c r="B52" t="s">
        <v>181</v>
      </c>
      <c r="C52" s="56"/>
      <c r="D52" s="31">
        <v>100175</v>
      </c>
      <c r="E52" t="s">
        <v>213</v>
      </c>
      <c r="F52" s="31" t="s">
        <v>250</v>
      </c>
      <c r="G52" s="56"/>
      <c r="H52" t="s">
        <v>212</v>
      </c>
      <c r="I52" t="s">
        <v>213</v>
      </c>
      <c r="J52" t="s">
        <v>251</v>
      </c>
    </row>
    <row r="53" spans="1:10" x14ac:dyDescent="0.25">
      <c r="A53" s="27" t="s">
        <v>106</v>
      </c>
      <c r="B53" t="s">
        <v>186</v>
      </c>
      <c r="C53" s="56"/>
      <c r="D53" s="31" t="s">
        <v>29</v>
      </c>
      <c r="E53" t="s">
        <v>213</v>
      </c>
      <c r="F53" s="31" t="s">
        <v>260</v>
      </c>
      <c r="G53" s="56"/>
      <c r="H53" t="s">
        <v>32</v>
      </c>
      <c r="I53" t="s">
        <v>213</v>
      </c>
      <c r="J53" t="s">
        <v>261</v>
      </c>
    </row>
    <row r="54" spans="1:10" x14ac:dyDescent="0.25">
      <c r="A54" s="27" t="s">
        <v>107</v>
      </c>
      <c r="B54" t="s">
        <v>185</v>
      </c>
      <c r="C54" s="56"/>
      <c r="D54" s="31" t="s">
        <v>29</v>
      </c>
      <c r="E54" t="s">
        <v>213</v>
      </c>
      <c r="F54" s="31" t="s">
        <v>260</v>
      </c>
      <c r="G54" s="56"/>
      <c r="H54" t="s">
        <v>32</v>
      </c>
      <c r="I54" t="s">
        <v>213</v>
      </c>
      <c r="J54" t="s">
        <v>261</v>
      </c>
    </row>
    <row r="55" spans="1:10" x14ac:dyDescent="0.25">
      <c r="A55" s="27" t="s">
        <v>108</v>
      </c>
      <c r="B55" t="s">
        <v>187</v>
      </c>
      <c r="C55" s="56"/>
      <c r="D55" s="31" t="s">
        <v>29</v>
      </c>
      <c r="E55" t="s">
        <v>213</v>
      </c>
      <c r="F55" s="31" t="s">
        <v>262</v>
      </c>
      <c r="G55" s="56"/>
      <c r="H55" t="s">
        <v>32</v>
      </c>
      <c r="I55" t="s">
        <v>213</v>
      </c>
      <c r="J55" t="s">
        <v>263</v>
      </c>
    </row>
    <row r="56" spans="1:10" x14ac:dyDescent="0.25">
      <c r="A56" s="27" t="s">
        <v>109</v>
      </c>
      <c r="B56" t="s">
        <v>214</v>
      </c>
      <c r="C56" s="56"/>
      <c r="D56" s="31" t="s">
        <v>29</v>
      </c>
      <c r="E56" t="s">
        <v>213</v>
      </c>
      <c r="F56" s="31" t="s">
        <v>262</v>
      </c>
      <c r="G56" s="56"/>
      <c r="H56" t="s">
        <v>32</v>
      </c>
      <c r="I56" t="s">
        <v>213</v>
      </c>
      <c r="J56" t="s">
        <v>263</v>
      </c>
    </row>
    <row r="57" spans="1:10" x14ac:dyDescent="0.25">
      <c r="A57" s="27" t="s">
        <v>110</v>
      </c>
      <c r="B57" t="s">
        <v>188</v>
      </c>
      <c r="C57" s="56"/>
      <c r="D57" s="31" t="s">
        <v>29</v>
      </c>
      <c r="E57" t="s">
        <v>213</v>
      </c>
      <c r="F57" s="31" t="s">
        <v>262</v>
      </c>
      <c r="G57" s="56"/>
      <c r="H57" t="s">
        <v>32</v>
      </c>
      <c r="I57" t="s">
        <v>213</v>
      </c>
      <c r="J57" t="s">
        <v>263</v>
      </c>
    </row>
    <row r="58" spans="1:10" x14ac:dyDescent="0.25">
      <c r="A58" s="27" t="s">
        <v>34</v>
      </c>
      <c r="B58" t="s">
        <v>114</v>
      </c>
      <c r="C58" s="56"/>
      <c r="D58" s="31" t="s">
        <v>29</v>
      </c>
      <c r="E58" t="s">
        <v>213</v>
      </c>
      <c r="F58" s="31" t="s">
        <v>244</v>
      </c>
      <c r="G58" s="56"/>
      <c r="H58" t="s">
        <v>32</v>
      </c>
      <c r="I58" t="s">
        <v>213</v>
      </c>
      <c r="J58" t="s">
        <v>245</v>
      </c>
    </row>
    <row r="59" spans="1:10" x14ac:dyDescent="0.25">
      <c r="A59" s="27" t="s">
        <v>217</v>
      </c>
      <c r="B59" t="s">
        <v>264</v>
      </c>
      <c r="C59" s="56"/>
      <c r="D59" s="31" t="s">
        <v>211</v>
      </c>
      <c r="E59" t="s">
        <v>213</v>
      </c>
      <c r="F59" s="31" t="s">
        <v>265</v>
      </c>
      <c r="G59" s="56"/>
      <c r="H59" t="s">
        <v>32</v>
      </c>
      <c r="I59" t="s">
        <v>213</v>
      </c>
      <c r="J59" t="s">
        <v>266</v>
      </c>
    </row>
    <row r="60" spans="1:10" x14ac:dyDescent="0.25">
      <c r="A60" s="27" t="s">
        <v>218</v>
      </c>
      <c r="B60" t="s">
        <v>221</v>
      </c>
      <c r="C60" s="56"/>
      <c r="D60" s="31" t="s">
        <v>211</v>
      </c>
      <c r="E60" t="s">
        <v>213</v>
      </c>
      <c r="F60" s="31" t="s">
        <v>265</v>
      </c>
      <c r="G60" s="56"/>
      <c r="H60" t="s">
        <v>32</v>
      </c>
      <c r="I60" t="s">
        <v>213</v>
      </c>
      <c r="J60" t="s">
        <v>266</v>
      </c>
    </row>
    <row r="61" spans="1:10" x14ac:dyDescent="0.25">
      <c r="A61" s="27" t="s">
        <v>88</v>
      </c>
      <c r="B61" t="s">
        <v>165</v>
      </c>
      <c r="C61" s="56"/>
      <c r="D61" s="31" t="s">
        <v>29</v>
      </c>
      <c r="E61" t="s">
        <v>213</v>
      </c>
      <c r="F61" s="31" t="s">
        <v>254</v>
      </c>
      <c r="G61" s="56"/>
      <c r="H61" t="s">
        <v>32</v>
      </c>
      <c r="I61" t="s">
        <v>213</v>
      </c>
      <c r="J61" t="s">
        <v>255</v>
      </c>
    </row>
    <row r="62" spans="1:10" x14ac:dyDescent="0.25">
      <c r="A62" s="27" t="s">
        <v>90</v>
      </c>
      <c r="B62" t="s">
        <v>167</v>
      </c>
      <c r="C62" s="56"/>
      <c r="D62" s="31" t="s">
        <v>29</v>
      </c>
      <c r="E62" t="s">
        <v>213</v>
      </c>
      <c r="F62" s="31" t="s">
        <v>254</v>
      </c>
      <c r="G62" s="56"/>
      <c r="H62" t="s">
        <v>32</v>
      </c>
      <c r="I62" t="s">
        <v>213</v>
      </c>
      <c r="J62" t="s">
        <v>255</v>
      </c>
    </row>
    <row r="63" spans="1:10" x14ac:dyDescent="0.25">
      <c r="A63" s="27" t="s">
        <v>219</v>
      </c>
      <c r="B63" t="s">
        <v>169</v>
      </c>
      <c r="C63" s="56"/>
      <c r="D63" s="31" t="s">
        <v>29</v>
      </c>
      <c r="E63" t="s">
        <v>213</v>
      </c>
      <c r="F63" s="31" t="s">
        <v>254</v>
      </c>
      <c r="G63" s="56"/>
      <c r="H63" t="s">
        <v>32</v>
      </c>
      <c r="I63" t="s">
        <v>213</v>
      </c>
      <c r="J63" t="s">
        <v>255</v>
      </c>
    </row>
    <row r="64" spans="1:10" x14ac:dyDescent="0.25">
      <c r="A64" s="27" t="s">
        <v>45</v>
      </c>
      <c r="B64" t="s">
        <v>126</v>
      </c>
      <c r="C64" s="56"/>
      <c r="D64" s="31" t="s">
        <v>29</v>
      </c>
      <c r="E64" t="s">
        <v>213</v>
      </c>
      <c r="F64" s="31" t="s">
        <v>242</v>
      </c>
      <c r="G64" s="56"/>
      <c r="H64" t="s">
        <v>32</v>
      </c>
      <c r="I64" t="s">
        <v>213</v>
      </c>
      <c r="J64" t="s">
        <v>243</v>
      </c>
    </row>
    <row r="65" spans="1:10" x14ac:dyDescent="0.25">
      <c r="A65" s="27" t="s">
        <v>220</v>
      </c>
      <c r="B65" t="s">
        <v>222</v>
      </c>
      <c r="C65" s="56"/>
      <c r="D65" s="31" t="s">
        <v>210</v>
      </c>
      <c r="E65" t="s">
        <v>213</v>
      </c>
      <c r="F65" s="31" t="s">
        <v>267</v>
      </c>
      <c r="G65" s="56"/>
      <c r="H65" t="s">
        <v>212</v>
      </c>
      <c r="I65" t="s">
        <v>213</v>
      </c>
      <c r="J65" t="s">
        <v>251</v>
      </c>
    </row>
    <row r="66" spans="1:10" x14ac:dyDescent="0.25">
      <c r="A66" s="27" t="s">
        <v>268</v>
      </c>
      <c r="B66" t="s">
        <v>269</v>
      </c>
      <c r="C66" s="56"/>
      <c r="D66" s="31" t="s">
        <v>210</v>
      </c>
      <c r="E66" t="s">
        <v>213</v>
      </c>
      <c r="F66" s="31" t="s">
        <v>267</v>
      </c>
      <c r="G66" s="56"/>
      <c r="H66" t="s">
        <v>212</v>
      </c>
      <c r="I66" t="s">
        <v>213</v>
      </c>
      <c r="J66" t="s">
        <v>251</v>
      </c>
    </row>
    <row r="67" spans="1:10" x14ac:dyDescent="0.25">
      <c r="A67" s="27" t="s">
        <v>60</v>
      </c>
      <c r="B67" t="s">
        <v>138</v>
      </c>
      <c r="C67" s="56"/>
      <c r="D67" s="31" t="s">
        <v>29</v>
      </c>
      <c r="E67" t="s">
        <v>213</v>
      </c>
      <c r="F67" s="31" t="s">
        <v>270</v>
      </c>
      <c r="G67" s="56"/>
      <c r="H67" t="s">
        <v>32</v>
      </c>
      <c r="I67" t="s">
        <v>213</v>
      </c>
      <c r="J67" t="s">
        <v>271</v>
      </c>
    </row>
    <row r="68" spans="1:10" x14ac:dyDescent="0.25">
      <c r="A68" s="27" t="s">
        <v>61</v>
      </c>
      <c r="B68" t="s">
        <v>139</v>
      </c>
      <c r="C68" s="56"/>
      <c r="D68" s="31" t="s">
        <v>29</v>
      </c>
      <c r="E68" t="s">
        <v>213</v>
      </c>
      <c r="F68" s="31" t="s">
        <v>270</v>
      </c>
      <c r="G68" s="56"/>
      <c r="H68" t="s">
        <v>32</v>
      </c>
      <c r="I68" t="s">
        <v>213</v>
      </c>
      <c r="J68" t="s">
        <v>271</v>
      </c>
    </row>
    <row r="69" spans="1:10" x14ac:dyDescent="0.25">
      <c r="A69" s="27" t="s">
        <v>272</v>
      </c>
      <c r="B69" t="s">
        <v>273</v>
      </c>
      <c r="C69" s="56"/>
      <c r="D69" s="31" t="s">
        <v>211</v>
      </c>
      <c r="E69" t="s">
        <v>213</v>
      </c>
      <c r="F69" s="31" t="s">
        <v>274</v>
      </c>
      <c r="G69" s="56"/>
      <c r="H69" t="s">
        <v>32</v>
      </c>
      <c r="I69" t="s">
        <v>213</v>
      </c>
      <c r="J69" t="s">
        <v>275</v>
      </c>
    </row>
    <row r="70" spans="1:10" x14ac:dyDescent="0.25">
      <c r="A70" s="27" t="s">
        <v>276</v>
      </c>
      <c r="B70" t="s">
        <v>277</v>
      </c>
      <c r="C70" s="56"/>
      <c r="D70" s="31" t="s">
        <v>211</v>
      </c>
      <c r="E70" t="s">
        <v>213</v>
      </c>
      <c r="F70" s="31" t="s">
        <v>274</v>
      </c>
      <c r="G70" s="56"/>
      <c r="H70" t="s">
        <v>32</v>
      </c>
      <c r="I70" t="s">
        <v>213</v>
      </c>
      <c r="J70" t="s">
        <v>275</v>
      </c>
    </row>
    <row r="71" spans="1:10" x14ac:dyDescent="0.25">
      <c r="A71" s="27" t="s">
        <v>278</v>
      </c>
      <c r="B71" t="s">
        <v>279</v>
      </c>
      <c r="C71" s="56"/>
      <c r="D71" s="31" t="s">
        <v>211</v>
      </c>
      <c r="E71" t="s">
        <v>213</v>
      </c>
      <c r="F71" s="31" t="s">
        <v>274</v>
      </c>
      <c r="G71" s="56"/>
      <c r="H71" t="s">
        <v>32</v>
      </c>
      <c r="I71" t="s">
        <v>213</v>
      </c>
      <c r="J71" t="s">
        <v>275</v>
      </c>
    </row>
    <row r="72" spans="1:10" x14ac:dyDescent="0.25">
      <c r="A72" s="27" t="s">
        <v>280</v>
      </c>
      <c r="B72" t="s">
        <v>281</v>
      </c>
      <c r="C72" s="56"/>
      <c r="D72" s="31" t="s">
        <v>211</v>
      </c>
      <c r="E72" t="s">
        <v>213</v>
      </c>
      <c r="F72" s="31" t="s">
        <v>274</v>
      </c>
      <c r="G72" s="56"/>
      <c r="H72" t="s">
        <v>32</v>
      </c>
      <c r="I72" t="s">
        <v>213</v>
      </c>
      <c r="J72" t="s">
        <v>275</v>
      </c>
    </row>
    <row r="73" spans="1:10" x14ac:dyDescent="0.25">
      <c r="A73" s="27" t="s">
        <v>282</v>
      </c>
      <c r="B73" t="s">
        <v>283</v>
      </c>
      <c r="C73" s="56"/>
      <c r="D73" s="31" t="s">
        <v>211</v>
      </c>
      <c r="E73" t="s">
        <v>213</v>
      </c>
      <c r="F73" s="31" t="s">
        <v>274</v>
      </c>
      <c r="G73" s="56"/>
      <c r="H73" t="s">
        <v>32</v>
      </c>
      <c r="I73" t="s">
        <v>213</v>
      </c>
      <c r="J73" t="s">
        <v>275</v>
      </c>
    </row>
    <row r="74" spans="1:10" x14ac:dyDescent="0.25">
      <c r="A74" s="27" t="s">
        <v>284</v>
      </c>
      <c r="B74" t="s">
        <v>285</v>
      </c>
      <c r="C74" s="56"/>
      <c r="D74" s="31" t="s">
        <v>211</v>
      </c>
      <c r="E74" t="s">
        <v>213</v>
      </c>
      <c r="F74" s="31" t="s">
        <v>274</v>
      </c>
      <c r="G74" s="56"/>
      <c r="H74" t="s">
        <v>32</v>
      </c>
      <c r="I74" t="s">
        <v>213</v>
      </c>
      <c r="J74" t="s">
        <v>275</v>
      </c>
    </row>
    <row r="75" spans="1:10" x14ac:dyDescent="0.25">
      <c r="A75" s="27" t="s">
        <v>286</v>
      </c>
      <c r="B75" t="s">
        <v>287</v>
      </c>
      <c r="C75" s="56"/>
      <c r="D75" s="31" t="s">
        <v>211</v>
      </c>
      <c r="E75" t="s">
        <v>213</v>
      </c>
      <c r="F75" s="31" t="s">
        <v>274</v>
      </c>
      <c r="G75" s="56"/>
      <c r="H75" t="s">
        <v>32</v>
      </c>
      <c r="I75" t="s">
        <v>213</v>
      </c>
      <c r="J75" t="s">
        <v>275</v>
      </c>
    </row>
    <row r="76" spans="1:10" x14ac:dyDescent="0.25">
      <c r="A76" s="27" t="s">
        <v>288</v>
      </c>
      <c r="B76" t="s">
        <v>289</v>
      </c>
      <c r="C76" s="56"/>
      <c r="D76" s="31" t="s">
        <v>211</v>
      </c>
      <c r="E76" t="s">
        <v>213</v>
      </c>
      <c r="F76" s="31" t="s">
        <v>274</v>
      </c>
      <c r="G76" s="56"/>
      <c r="H76" t="s">
        <v>32</v>
      </c>
      <c r="I76" t="s">
        <v>213</v>
      </c>
      <c r="J76" t="s">
        <v>275</v>
      </c>
    </row>
    <row r="77" spans="1:10" x14ac:dyDescent="0.25">
      <c r="A77" s="27" t="s">
        <v>290</v>
      </c>
      <c r="B77" t="s">
        <v>291</v>
      </c>
      <c r="C77" s="56"/>
      <c r="D77" s="31" t="s">
        <v>211</v>
      </c>
      <c r="E77" t="s">
        <v>213</v>
      </c>
      <c r="F77" s="31" t="s">
        <v>274</v>
      </c>
      <c r="G77" s="56"/>
      <c r="H77" t="s">
        <v>32</v>
      </c>
      <c r="I77" t="s">
        <v>213</v>
      </c>
      <c r="J77" t="s">
        <v>275</v>
      </c>
    </row>
    <row r="78" spans="1:10" x14ac:dyDescent="0.25">
      <c r="A78" s="27" t="s">
        <v>292</v>
      </c>
      <c r="B78" t="s">
        <v>293</v>
      </c>
      <c r="C78" s="56"/>
      <c r="D78" s="31" t="s">
        <v>211</v>
      </c>
      <c r="E78" t="s">
        <v>213</v>
      </c>
      <c r="F78" s="31" t="s">
        <v>274</v>
      </c>
      <c r="G78" s="56"/>
      <c r="H78" t="s">
        <v>32</v>
      </c>
      <c r="I78" t="s">
        <v>213</v>
      </c>
      <c r="J78" t="s">
        <v>275</v>
      </c>
    </row>
    <row r="79" spans="1:10" x14ac:dyDescent="0.25">
      <c r="A79" s="27" t="s">
        <v>294</v>
      </c>
      <c r="B79" t="s">
        <v>295</v>
      </c>
      <c r="C79" s="56"/>
      <c r="D79" s="31" t="s">
        <v>211</v>
      </c>
      <c r="E79" t="s">
        <v>213</v>
      </c>
      <c r="F79" s="31" t="s">
        <v>274</v>
      </c>
      <c r="G79" s="56"/>
      <c r="H79" t="s">
        <v>32</v>
      </c>
      <c r="I79" t="s">
        <v>213</v>
      </c>
      <c r="J79" t="s">
        <v>275</v>
      </c>
    </row>
    <row r="80" spans="1:10" x14ac:dyDescent="0.25">
      <c r="A80" s="27" t="s">
        <v>296</v>
      </c>
      <c r="B80" t="s">
        <v>297</v>
      </c>
      <c r="C80" s="56"/>
      <c r="D80" s="31">
        <v>100175</v>
      </c>
      <c r="E80" t="s">
        <v>213</v>
      </c>
      <c r="F80" s="31" t="s">
        <v>250</v>
      </c>
      <c r="G80" s="56"/>
      <c r="H80" t="s">
        <v>212</v>
      </c>
      <c r="I80" t="s">
        <v>213</v>
      </c>
      <c r="J80" t="s">
        <v>251</v>
      </c>
    </row>
    <row r="81" spans="1:10" x14ac:dyDescent="0.25">
      <c r="A81" s="27" t="s">
        <v>298</v>
      </c>
      <c r="B81" t="s">
        <v>299</v>
      </c>
      <c r="C81" s="56"/>
      <c r="D81" s="31">
        <v>100175</v>
      </c>
      <c r="E81" t="s">
        <v>213</v>
      </c>
      <c r="F81" s="31" t="s">
        <v>250</v>
      </c>
      <c r="G81" s="56"/>
      <c r="H81" t="s">
        <v>212</v>
      </c>
      <c r="I81" t="s">
        <v>213</v>
      </c>
      <c r="J81" t="s">
        <v>251</v>
      </c>
    </row>
    <row r="82" spans="1:10" x14ac:dyDescent="0.25">
      <c r="A82" s="27" t="s">
        <v>300</v>
      </c>
      <c r="B82" t="s">
        <v>301</v>
      </c>
      <c r="C82" s="56"/>
      <c r="D82" s="31">
        <v>100175</v>
      </c>
      <c r="E82" t="s">
        <v>213</v>
      </c>
      <c r="F82" s="31" t="s">
        <v>250</v>
      </c>
      <c r="G82" s="56"/>
      <c r="H82" t="s">
        <v>212</v>
      </c>
      <c r="I82" t="s">
        <v>213</v>
      </c>
      <c r="J82" t="s">
        <v>251</v>
      </c>
    </row>
    <row r="83" spans="1:10" x14ac:dyDescent="0.25">
      <c r="A83" s="27" t="s">
        <v>302</v>
      </c>
      <c r="B83" t="s">
        <v>303</v>
      </c>
      <c r="C83" s="56"/>
      <c r="D83" s="31" t="s">
        <v>210</v>
      </c>
      <c r="E83" t="s">
        <v>213</v>
      </c>
      <c r="F83" s="31" t="s">
        <v>267</v>
      </c>
      <c r="G83" s="56"/>
      <c r="H83" t="s">
        <v>212</v>
      </c>
      <c r="I83" t="s">
        <v>213</v>
      </c>
      <c r="J83" t="s">
        <v>251</v>
      </c>
    </row>
    <row r="84" spans="1:10" x14ac:dyDescent="0.25">
      <c r="A84" s="27" t="s">
        <v>304</v>
      </c>
      <c r="B84" t="s">
        <v>305</v>
      </c>
      <c r="C84" s="56"/>
      <c r="D84" s="31" t="s">
        <v>211</v>
      </c>
      <c r="E84" t="s">
        <v>213</v>
      </c>
      <c r="F84" s="31" t="s">
        <v>274</v>
      </c>
      <c r="G84" s="56"/>
      <c r="H84" t="s">
        <v>32</v>
      </c>
      <c r="I84" t="s">
        <v>213</v>
      </c>
      <c r="J84" t="s">
        <v>275</v>
      </c>
    </row>
    <row r="85" spans="1:10" x14ac:dyDescent="0.25">
      <c r="A85" s="27" t="s">
        <v>306</v>
      </c>
      <c r="B85" t="s">
        <v>307</v>
      </c>
      <c r="C85" s="56"/>
      <c r="D85" s="31" t="s">
        <v>211</v>
      </c>
      <c r="E85" t="s">
        <v>213</v>
      </c>
      <c r="F85" s="31" t="s">
        <v>274</v>
      </c>
      <c r="G85" s="56"/>
      <c r="H85" t="s">
        <v>32</v>
      </c>
      <c r="I85" t="s">
        <v>213</v>
      </c>
      <c r="J85" t="s">
        <v>275</v>
      </c>
    </row>
    <row r="86" spans="1:10" x14ac:dyDescent="0.25">
      <c r="A86" s="27" t="s">
        <v>308</v>
      </c>
      <c r="B86" t="s">
        <v>309</v>
      </c>
      <c r="C86" s="56"/>
      <c r="D86" s="31" t="s">
        <v>211</v>
      </c>
      <c r="E86" t="s">
        <v>213</v>
      </c>
      <c r="F86" s="31" t="s">
        <v>274</v>
      </c>
      <c r="G86" s="56"/>
      <c r="H86" t="s">
        <v>32</v>
      </c>
      <c r="I86" t="s">
        <v>213</v>
      </c>
      <c r="J86" t="s">
        <v>275</v>
      </c>
    </row>
    <row r="87" spans="1:10" x14ac:dyDescent="0.25">
      <c r="A87" s="27" t="s">
        <v>310</v>
      </c>
      <c r="B87" t="s">
        <v>311</v>
      </c>
      <c r="C87" s="56"/>
      <c r="D87" s="31" t="s">
        <v>211</v>
      </c>
      <c r="E87" t="s">
        <v>213</v>
      </c>
      <c r="F87" s="31" t="s">
        <v>274</v>
      </c>
      <c r="G87" s="56"/>
      <c r="H87" t="s">
        <v>32</v>
      </c>
      <c r="I87" t="s">
        <v>213</v>
      </c>
      <c r="J87" t="s">
        <v>275</v>
      </c>
    </row>
    <row r="88" spans="1:10" x14ac:dyDescent="0.25">
      <c r="A88" s="27" t="s">
        <v>312</v>
      </c>
      <c r="B88" t="s">
        <v>313</v>
      </c>
      <c r="C88" s="56"/>
      <c r="D88" s="31" t="s">
        <v>211</v>
      </c>
      <c r="E88" t="s">
        <v>213</v>
      </c>
      <c r="F88" s="31" t="s">
        <v>274</v>
      </c>
      <c r="G88" s="56"/>
      <c r="H88" t="s">
        <v>32</v>
      </c>
      <c r="I88" t="s">
        <v>213</v>
      </c>
      <c r="J88" t="s">
        <v>275</v>
      </c>
    </row>
    <row r="89" spans="1:10" x14ac:dyDescent="0.25">
      <c r="A89" s="27" t="s">
        <v>314</v>
      </c>
      <c r="B89" t="s">
        <v>315</v>
      </c>
      <c r="C89" s="56"/>
      <c r="D89" s="31" t="s">
        <v>211</v>
      </c>
      <c r="E89" t="s">
        <v>213</v>
      </c>
      <c r="F89" s="31" t="s">
        <v>274</v>
      </c>
      <c r="G89" s="56"/>
      <c r="H89" t="s">
        <v>32</v>
      </c>
      <c r="I89" t="s">
        <v>213</v>
      </c>
      <c r="J89" t="s">
        <v>275</v>
      </c>
    </row>
    <row r="90" spans="1:10" x14ac:dyDescent="0.25">
      <c r="A90" s="27" t="s">
        <v>191</v>
      </c>
      <c r="B90" t="s">
        <v>197</v>
      </c>
      <c r="C90" s="56"/>
      <c r="D90" s="31" t="s">
        <v>29</v>
      </c>
      <c r="E90" t="s">
        <v>213</v>
      </c>
      <c r="F90" s="31" t="s">
        <v>316</v>
      </c>
      <c r="G90" s="56"/>
      <c r="H90" t="s">
        <v>32</v>
      </c>
      <c r="I90" t="s">
        <v>213</v>
      </c>
      <c r="J90" t="s">
        <v>317</v>
      </c>
    </row>
    <row r="91" spans="1:10" x14ac:dyDescent="0.25">
      <c r="A91" s="27" t="s">
        <v>193</v>
      </c>
      <c r="B91" t="s">
        <v>199</v>
      </c>
      <c r="C91" s="56"/>
      <c r="D91" s="31" t="s">
        <v>29</v>
      </c>
      <c r="E91" t="s">
        <v>213</v>
      </c>
      <c r="F91" s="31" t="s">
        <v>318</v>
      </c>
      <c r="G91" s="56"/>
      <c r="H91" t="s">
        <v>32</v>
      </c>
      <c r="I91" t="s">
        <v>213</v>
      </c>
      <c r="J91" t="s">
        <v>319</v>
      </c>
    </row>
    <row r="92" spans="1:10" x14ac:dyDescent="0.25">
      <c r="A92" s="27" t="s">
        <v>192</v>
      </c>
      <c r="B92" t="s">
        <v>198</v>
      </c>
      <c r="C92" s="56"/>
      <c r="D92" s="31">
        <v>100175</v>
      </c>
      <c r="E92" t="s">
        <v>213</v>
      </c>
      <c r="F92" s="31" t="s">
        <v>250</v>
      </c>
      <c r="G92" s="56"/>
      <c r="H92" t="s">
        <v>212</v>
      </c>
      <c r="I92" t="s">
        <v>213</v>
      </c>
      <c r="J92" t="s">
        <v>251</v>
      </c>
    </row>
    <row r="93" spans="1:10" x14ac:dyDescent="0.25">
      <c r="A93" s="27" t="s">
        <v>100</v>
      </c>
      <c r="B93" t="s">
        <v>178</v>
      </c>
      <c r="C93" s="56"/>
      <c r="D93" s="31" t="s">
        <v>29</v>
      </c>
      <c r="E93" t="s">
        <v>213</v>
      </c>
      <c r="F93" s="31" t="s">
        <v>320</v>
      </c>
      <c r="G93" s="56"/>
      <c r="H93" t="s">
        <v>32</v>
      </c>
      <c r="I93" t="s">
        <v>213</v>
      </c>
      <c r="J93" t="s">
        <v>321</v>
      </c>
    </row>
    <row r="94" spans="1:10" x14ac:dyDescent="0.25">
      <c r="A94" s="27" t="s">
        <v>194</v>
      </c>
      <c r="B94" t="s">
        <v>200</v>
      </c>
      <c r="C94" s="56"/>
      <c r="D94" s="31">
        <v>100175</v>
      </c>
      <c r="E94" t="s">
        <v>213</v>
      </c>
      <c r="F94" s="31" t="s">
        <v>250</v>
      </c>
      <c r="G94" s="56"/>
      <c r="H94" t="s">
        <v>212</v>
      </c>
      <c r="I94" t="s">
        <v>213</v>
      </c>
      <c r="J94" t="s">
        <v>251</v>
      </c>
    </row>
    <row r="95" spans="1:10" x14ac:dyDescent="0.25">
      <c r="A95" s="27" t="s">
        <v>103</v>
      </c>
      <c r="B95" t="s">
        <v>202</v>
      </c>
      <c r="C95" s="56"/>
      <c r="D95" s="31" t="s">
        <v>29</v>
      </c>
      <c r="E95" t="s">
        <v>213</v>
      </c>
      <c r="F95" s="31" t="s">
        <v>322</v>
      </c>
      <c r="G95" s="56"/>
      <c r="H95" t="s">
        <v>32</v>
      </c>
      <c r="I95" t="s">
        <v>213</v>
      </c>
      <c r="J95" t="s">
        <v>323</v>
      </c>
    </row>
    <row r="96" spans="1:10" x14ac:dyDescent="0.25">
      <c r="A96" s="27" t="s">
        <v>105</v>
      </c>
      <c r="B96" t="s">
        <v>184</v>
      </c>
      <c r="C96" s="56"/>
      <c r="D96" s="31" t="s">
        <v>29</v>
      </c>
      <c r="E96" t="s">
        <v>213</v>
      </c>
      <c r="F96" s="31" t="s">
        <v>322</v>
      </c>
      <c r="G96" s="56"/>
      <c r="H96" t="s">
        <v>32</v>
      </c>
      <c r="I96" t="s">
        <v>213</v>
      </c>
      <c r="J96" t="s">
        <v>323</v>
      </c>
    </row>
    <row r="97" spans="1:10" x14ac:dyDescent="0.25">
      <c r="A97" s="27" t="s">
        <v>195</v>
      </c>
      <c r="B97" t="s">
        <v>201</v>
      </c>
      <c r="C97" s="56"/>
      <c r="D97" s="31">
        <v>100175</v>
      </c>
      <c r="E97" t="s">
        <v>213</v>
      </c>
      <c r="F97" s="31" t="s">
        <v>250</v>
      </c>
      <c r="G97" s="56"/>
      <c r="H97" t="s">
        <v>212</v>
      </c>
      <c r="I97" t="s">
        <v>213</v>
      </c>
      <c r="J97" t="s">
        <v>251</v>
      </c>
    </row>
    <row r="98" spans="1:10" x14ac:dyDescent="0.25">
      <c r="A98" s="27" t="s">
        <v>47</v>
      </c>
      <c r="B98" t="s">
        <v>127</v>
      </c>
      <c r="C98" s="56"/>
      <c r="D98" s="31" t="s">
        <v>29</v>
      </c>
      <c r="E98" t="s">
        <v>213</v>
      </c>
      <c r="F98" s="31" t="s">
        <v>324</v>
      </c>
      <c r="G98" s="56"/>
      <c r="H98" t="s">
        <v>32</v>
      </c>
      <c r="I98" t="s">
        <v>213</v>
      </c>
      <c r="J98" t="s">
        <v>325</v>
      </c>
    </row>
    <row r="99" spans="1:10" x14ac:dyDescent="0.25">
      <c r="A99" s="27" t="s">
        <v>48</v>
      </c>
      <c r="B99" t="s">
        <v>128</v>
      </c>
      <c r="C99" s="56"/>
      <c r="D99" s="31" t="s">
        <v>29</v>
      </c>
      <c r="E99" t="s">
        <v>213</v>
      </c>
      <c r="F99" s="31" t="s">
        <v>324</v>
      </c>
      <c r="G99" s="56"/>
      <c r="H99" t="s">
        <v>32</v>
      </c>
      <c r="I99" t="s">
        <v>213</v>
      </c>
      <c r="J99" t="s">
        <v>325</v>
      </c>
    </row>
    <row r="100" spans="1:10" x14ac:dyDescent="0.25">
      <c r="A100" s="27" t="s">
        <v>51</v>
      </c>
      <c r="B100" t="s">
        <v>326</v>
      </c>
      <c r="C100" s="56"/>
      <c r="D100" s="31" t="s">
        <v>29</v>
      </c>
      <c r="E100" t="s">
        <v>213</v>
      </c>
      <c r="F100" s="31" t="s">
        <v>324</v>
      </c>
      <c r="G100" s="56"/>
      <c r="H100" t="s">
        <v>32</v>
      </c>
      <c r="I100" t="s">
        <v>213</v>
      </c>
      <c r="J100" t="s">
        <v>325</v>
      </c>
    </row>
    <row r="101" spans="1:10" x14ac:dyDescent="0.25">
      <c r="A101" s="27" t="s">
        <v>53</v>
      </c>
      <c r="B101" t="s">
        <v>130</v>
      </c>
      <c r="C101" s="56"/>
      <c r="D101" s="31" t="s">
        <v>29</v>
      </c>
      <c r="E101" t="s">
        <v>213</v>
      </c>
      <c r="F101" s="31" t="s">
        <v>324</v>
      </c>
      <c r="G101" s="56"/>
      <c r="H101" t="s">
        <v>32</v>
      </c>
      <c r="I101" t="s">
        <v>213</v>
      </c>
      <c r="J101" t="s">
        <v>325</v>
      </c>
    </row>
    <row r="102" spans="1:10" x14ac:dyDescent="0.25">
      <c r="A102" s="27" t="s">
        <v>56</v>
      </c>
      <c r="B102" t="s">
        <v>133</v>
      </c>
      <c r="C102" s="56"/>
      <c r="D102" s="31" t="s">
        <v>29</v>
      </c>
      <c r="E102" t="s">
        <v>213</v>
      </c>
      <c r="F102" s="31" t="s">
        <v>324</v>
      </c>
      <c r="G102" s="56"/>
      <c r="H102" t="s">
        <v>32</v>
      </c>
      <c r="I102" t="s">
        <v>213</v>
      </c>
      <c r="J102" t="s">
        <v>325</v>
      </c>
    </row>
    <row r="103" spans="1:10" x14ac:dyDescent="0.25">
      <c r="A103" s="27" t="s">
        <v>58</v>
      </c>
      <c r="B103" t="s">
        <v>135</v>
      </c>
      <c r="C103" s="56"/>
      <c r="D103" s="31" t="s">
        <v>29</v>
      </c>
      <c r="E103" t="s">
        <v>213</v>
      </c>
      <c r="F103" s="31" t="s">
        <v>324</v>
      </c>
      <c r="G103" s="56"/>
      <c r="H103" t="s">
        <v>32</v>
      </c>
      <c r="I103" t="s">
        <v>213</v>
      </c>
      <c r="J103" t="s">
        <v>325</v>
      </c>
    </row>
    <row r="104" spans="1:10" x14ac:dyDescent="0.25">
      <c r="A104" s="27" t="s">
        <v>54</v>
      </c>
      <c r="B104" t="s">
        <v>131</v>
      </c>
      <c r="C104" s="56"/>
      <c r="D104" s="31" t="s">
        <v>29</v>
      </c>
      <c r="E104" t="s">
        <v>213</v>
      </c>
      <c r="F104" s="31" t="s">
        <v>324</v>
      </c>
      <c r="G104" s="56"/>
      <c r="H104" t="s">
        <v>32</v>
      </c>
      <c r="I104" t="s">
        <v>213</v>
      </c>
      <c r="J104" t="s">
        <v>325</v>
      </c>
    </row>
    <row r="105" spans="1:10" x14ac:dyDescent="0.25">
      <c r="A105" s="27" t="s">
        <v>196</v>
      </c>
      <c r="B105" t="s">
        <v>203</v>
      </c>
      <c r="C105" s="56"/>
      <c r="D105" s="31" t="s">
        <v>211</v>
      </c>
      <c r="E105" t="s">
        <v>213</v>
      </c>
      <c r="F105" s="31" t="s">
        <v>265</v>
      </c>
      <c r="G105" s="56"/>
      <c r="H105" t="s">
        <v>32</v>
      </c>
      <c r="I105" t="s">
        <v>213</v>
      </c>
      <c r="J105" t="s">
        <v>266</v>
      </c>
    </row>
    <row r="106" spans="1:10" x14ac:dyDescent="0.25">
      <c r="A106" s="27" t="s">
        <v>46</v>
      </c>
      <c r="B106" t="s">
        <v>204</v>
      </c>
      <c r="C106" s="56"/>
      <c r="D106" s="31" t="s">
        <v>29</v>
      </c>
      <c r="E106" t="s">
        <v>213</v>
      </c>
      <c r="F106" s="31" t="s">
        <v>327</v>
      </c>
      <c r="G106" s="56"/>
      <c r="H106" t="s">
        <v>32</v>
      </c>
      <c r="I106" t="s">
        <v>213</v>
      </c>
      <c r="J106" t="s">
        <v>328</v>
      </c>
    </row>
    <row r="107" spans="1:10" x14ac:dyDescent="0.25">
      <c r="A107" s="27" t="s">
        <v>49</v>
      </c>
      <c r="B107" t="s">
        <v>205</v>
      </c>
      <c r="C107" s="56"/>
      <c r="D107" s="31" t="s">
        <v>29</v>
      </c>
      <c r="E107" t="s">
        <v>213</v>
      </c>
      <c r="F107" s="31" t="s">
        <v>324</v>
      </c>
      <c r="G107" s="56"/>
      <c r="H107" t="s">
        <v>32</v>
      </c>
      <c r="I107" t="s">
        <v>213</v>
      </c>
      <c r="J107" t="s">
        <v>325</v>
      </c>
    </row>
    <row r="108" spans="1:10" x14ac:dyDescent="0.25">
      <c r="A108" s="27" t="s">
        <v>59</v>
      </c>
      <c r="B108" t="s">
        <v>137</v>
      </c>
      <c r="C108" s="56"/>
      <c r="D108" s="31" t="s">
        <v>29</v>
      </c>
      <c r="E108" t="s">
        <v>213</v>
      </c>
      <c r="F108" s="31" t="s">
        <v>329</v>
      </c>
      <c r="G108" s="56"/>
      <c r="H108" t="s">
        <v>32</v>
      </c>
      <c r="I108" t="s">
        <v>213</v>
      </c>
      <c r="J108" t="s">
        <v>330</v>
      </c>
    </row>
    <row r="109" spans="1:10" x14ac:dyDescent="0.25">
      <c r="A109" s="38" t="s">
        <v>331</v>
      </c>
      <c r="B109" s="39" t="s">
        <v>332</v>
      </c>
      <c r="C109" s="56"/>
      <c r="D109" s="31">
        <v>100175</v>
      </c>
      <c r="E109" t="s">
        <v>213</v>
      </c>
      <c r="F109" s="31" t="s">
        <v>250</v>
      </c>
      <c r="G109" s="56"/>
      <c r="H109" t="s">
        <v>212</v>
      </c>
      <c r="I109" t="s">
        <v>213</v>
      </c>
      <c r="J109" t="s">
        <v>251</v>
      </c>
    </row>
    <row r="110" spans="1:10" x14ac:dyDescent="0.25">
      <c r="A110" s="38" t="s">
        <v>93</v>
      </c>
      <c r="B110" s="39" t="s">
        <v>171</v>
      </c>
      <c r="C110" s="56"/>
      <c r="D110" s="31" t="s">
        <v>29</v>
      </c>
      <c r="E110" t="s">
        <v>213</v>
      </c>
      <c r="F110" s="31" t="s">
        <v>333</v>
      </c>
      <c r="G110" s="56"/>
      <c r="H110" t="s">
        <v>32</v>
      </c>
      <c r="I110" t="s">
        <v>213</v>
      </c>
      <c r="J110" t="s">
        <v>334</v>
      </c>
    </row>
    <row r="111" spans="1:10" x14ac:dyDescent="0.25">
      <c r="A111" s="38" t="s">
        <v>335</v>
      </c>
      <c r="B111" s="31" t="s">
        <v>336</v>
      </c>
      <c r="C111" s="56"/>
      <c r="D111" s="31" t="s">
        <v>29</v>
      </c>
      <c r="E111" t="s">
        <v>213</v>
      </c>
      <c r="F111" s="31" t="s">
        <v>337</v>
      </c>
      <c r="G111" s="56"/>
      <c r="H111" t="e">
        <v>#N/A</v>
      </c>
      <c r="I111" t="e">
        <v>#N/A</v>
      </c>
      <c r="J111" t="e">
        <v>#N/A</v>
      </c>
    </row>
    <row r="112" spans="1:10" x14ac:dyDescent="0.25">
      <c r="A112" s="38" t="s">
        <v>338</v>
      </c>
      <c r="B112" s="39" t="s">
        <v>339</v>
      </c>
      <c r="C112" s="56"/>
      <c r="D112" s="31" t="s">
        <v>29</v>
      </c>
      <c r="E112" t="s">
        <v>213</v>
      </c>
      <c r="F112" s="31" t="s">
        <v>337</v>
      </c>
      <c r="G112" s="56"/>
      <c r="H112" t="s">
        <v>32</v>
      </c>
      <c r="I112" t="s">
        <v>213</v>
      </c>
      <c r="J112" t="s">
        <v>340</v>
      </c>
    </row>
    <row r="113" spans="1:10" x14ac:dyDescent="0.25">
      <c r="A113" s="38" t="s">
        <v>341</v>
      </c>
      <c r="B113" s="39" t="s">
        <v>342</v>
      </c>
      <c r="C113" s="56"/>
      <c r="D113" s="31" t="s">
        <v>29</v>
      </c>
      <c r="E113" t="s">
        <v>213</v>
      </c>
      <c r="F113" s="31" t="s">
        <v>337</v>
      </c>
      <c r="G113" s="56"/>
      <c r="H113" t="s">
        <v>32</v>
      </c>
      <c r="I113" t="s">
        <v>213</v>
      </c>
      <c r="J113" t="s">
        <v>340</v>
      </c>
    </row>
    <row r="114" spans="1:10" x14ac:dyDescent="0.25">
      <c r="A114" s="38" t="s">
        <v>343</v>
      </c>
      <c r="B114" s="39" t="s">
        <v>344</v>
      </c>
      <c r="C114" s="56"/>
      <c r="D114" s="31" t="s">
        <v>29</v>
      </c>
      <c r="E114" t="s">
        <v>213</v>
      </c>
      <c r="F114" s="31" t="s">
        <v>337</v>
      </c>
      <c r="G114" s="56"/>
      <c r="H114" t="s">
        <v>32</v>
      </c>
      <c r="I114" t="s">
        <v>213</v>
      </c>
      <c r="J114" t="s">
        <v>340</v>
      </c>
    </row>
    <row r="115" spans="1:10" x14ac:dyDescent="0.25">
      <c r="A115" s="38" t="s">
        <v>345</v>
      </c>
      <c r="B115" s="39" t="s">
        <v>346</v>
      </c>
      <c r="C115" s="56"/>
      <c r="D115" s="31">
        <v>100175</v>
      </c>
      <c r="E115" t="s">
        <v>213</v>
      </c>
      <c r="F115" s="31" t="s">
        <v>250</v>
      </c>
      <c r="G115" s="56"/>
      <c r="H115" t="s">
        <v>212</v>
      </c>
      <c r="I115" t="s">
        <v>213</v>
      </c>
      <c r="J115" t="s">
        <v>251</v>
      </c>
    </row>
    <row r="116" spans="1:10" x14ac:dyDescent="0.25">
      <c r="A116" s="38" t="s">
        <v>347</v>
      </c>
      <c r="B116" s="39" t="s">
        <v>348</v>
      </c>
      <c r="C116" s="56"/>
      <c r="D116" s="31">
        <v>100175</v>
      </c>
      <c r="E116" t="s">
        <v>213</v>
      </c>
      <c r="F116" s="31" t="s">
        <v>250</v>
      </c>
      <c r="G116" s="56"/>
      <c r="H116" t="s">
        <v>212</v>
      </c>
      <c r="I116" t="s">
        <v>213</v>
      </c>
      <c r="J116" t="s">
        <v>251</v>
      </c>
    </row>
    <row r="117" spans="1:10" x14ac:dyDescent="0.25">
      <c r="A117" s="38" t="s">
        <v>98</v>
      </c>
      <c r="B117" s="39" t="s">
        <v>176</v>
      </c>
      <c r="C117" s="56"/>
      <c r="D117" s="31" t="s">
        <v>29</v>
      </c>
      <c r="E117" t="s">
        <v>213</v>
      </c>
      <c r="F117" s="31" t="s">
        <v>320</v>
      </c>
      <c r="G117" s="56"/>
      <c r="H117" t="s">
        <v>32</v>
      </c>
      <c r="I117" t="s">
        <v>213</v>
      </c>
      <c r="J117" t="s">
        <v>321</v>
      </c>
    </row>
    <row r="118" spans="1:10" x14ac:dyDescent="0.25">
      <c r="A118" s="38" t="s">
        <v>101</v>
      </c>
      <c r="B118" s="39" t="s">
        <v>179</v>
      </c>
      <c r="C118" s="56"/>
      <c r="D118" s="31" t="s">
        <v>29</v>
      </c>
      <c r="E118" t="s">
        <v>213</v>
      </c>
      <c r="F118" s="31" t="s">
        <v>320</v>
      </c>
      <c r="G118" s="56"/>
      <c r="H118" t="s">
        <v>32</v>
      </c>
      <c r="I118" t="s">
        <v>213</v>
      </c>
      <c r="J118" t="s">
        <v>321</v>
      </c>
    </row>
    <row r="119" spans="1:10" x14ac:dyDescent="0.25">
      <c r="A119" s="38" t="s">
        <v>111</v>
      </c>
      <c r="B119" s="39" t="s">
        <v>189</v>
      </c>
      <c r="C119" s="56"/>
      <c r="D119" s="31">
        <v>100175</v>
      </c>
      <c r="E119" t="s">
        <v>213</v>
      </c>
      <c r="F119" s="31" t="s">
        <v>250</v>
      </c>
      <c r="G119" s="56"/>
      <c r="H119" t="s">
        <v>212</v>
      </c>
      <c r="I119" t="s">
        <v>213</v>
      </c>
      <c r="J119" t="s">
        <v>251</v>
      </c>
    </row>
    <row r="120" spans="1:10" x14ac:dyDescent="0.25">
      <c r="A120" s="38" t="s">
        <v>99</v>
      </c>
      <c r="B120" s="39" t="s">
        <v>177</v>
      </c>
      <c r="C120" s="56"/>
      <c r="D120" s="31" t="s">
        <v>29</v>
      </c>
      <c r="E120" t="s">
        <v>213</v>
      </c>
      <c r="F120" s="31" t="s">
        <v>320</v>
      </c>
      <c r="G120" s="56"/>
      <c r="H120" t="s">
        <v>32</v>
      </c>
      <c r="I120" t="s">
        <v>213</v>
      </c>
      <c r="J120" t="s">
        <v>321</v>
      </c>
    </row>
    <row r="121" spans="1:10" x14ac:dyDescent="0.25">
      <c r="A121" s="38" t="s">
        <v>349</v>
      </c>
      <c r="B121" s="39" t="s">
        <v>350</v>
      </c>
      <c r="C121" s="56"/>
      <c r="D121" s="31">
        <v>100175</v>
      </c>
      <c r="E121" t="s">
        <v>213</v>
      </c>
      <c r="F121" s="31" t="s">
        <v>250</v>
      </c>
      <c r="G121" s="56"/>
      <c r="H121" t="s">
        <v>212</v>
      </c>
      <c r="I121" t="s">
        <v>213</v>
      </c>
      <c r="J121" t="s">
        <v>251</v>
      </c>
    </row>
    <row r="122" spans="1:10" x14ac:dyDescent="0.25">
      <c r="A122" s="38" t="s">
        <v>351</v>
      </c>
      <c r="B122" s="39" t="s">
        <v>352</v>
      </c>
      <c r="C122" s="56"/>
      <c r="D122" s="31">
        <v>100175</v>
      </c>
      <c r="E122" t="s">
        <v>213</v>
      </c>
      <c r="F122" s="31" t="s">
        <v>250</v>
      </c>
      <c r="G122" s="56"/>
      <c r="H122" t="s">
        <v>212</v>
      </c>
      <c r="I122" t="s">
        <v>213</v>
      </c>
      <c r="J122" t="s">
        <v>251</v>
      </c>
    </row>
    <row r="123" spans="1:10" x14ac:dyDescent="0.25">
      <c r="A123" s="38" t="s">
        <v>104</v>
      </c>
      <c r="B123" s="40" t="s">
        <v>183</v>
      </c>
      <c r="C123" s="56"/>
      <c r="D123" s="31" t="s">
        <v>29</v>
      </c>
      <c r="E123" t="s">
        <v>213</v>
      </c>
      <c r="F123" s="31" t="s">
        <v>322</v>
      </c>
      <c r="G123" s="56"/>
      <c r="H123" t="s">
        <v>32</v>
      </c>
      <c r="I123" t="s">
        <v>213</v>
      </c>
      <c r="J123" t="s">
        <v>323</v>
      </c>
    </row>
    <row r="124" spans="1:10" x14ac:dyDescent="0.25">
      <c r="A124" s="38" t="s">
        <v>353</v>
      </c>
      <c r="B124" s="40" t="s">
        <v>354</v>
      </c>
      <c r="C124" s="56"/>
      <c r="D124" s="31" t="s">
        <v>29</v>
      </c>
      <c r="E124" t="s">
        <v>213</v>
      </c>
      <c r="F124" s="31" t="s">
        <v>322</v>
      </c>
      <c r="G124" s="56"/>
      <c r="H124" t="s">
        <v>32</v>
      </c>
      <c r="I124" t="s">
        <v>213</v>
      </c>
      <c r="J124" t="s">
        <v>266</v>
      </c>
    </row>
    <row r="125" spans="1:10" x14ac:dyDescent="0.25">
      <c r="A125" s="38" t="s">
        <v>355</v>
      </c>
      <c r="B125" s="40" t="s">
        <v>356</v>
      </c>
      <c r="C125" s="56"/>
      <c r="D125" s="31" t="s">
        <v>29</v>
      </c>
      <c r="E125" t="s">
        <v>213</v>
      </c>
      <c r="F125" s="31" t="s">
        <v>357</v>
      </c>
      <c r="G125" s="56"/>
      <c r="H125" t="s">
        <v>32</v>
      </c>
      <c r="I125" t="s">
        <v>213</v>
      </c>
      <c r="J125" t="s">
        <v>340</v>
      </c>
    </row>
    <row r="126" spans="1:10" x14ac:dyDescent="0.25">
      <c r="A126" s="38" t="s">
        <v>52</v>
      </c>
      <c r="B126" s="39" t="s">
        <v>129</v>
      </c>
      <c r="C126" s="56"/>
      <c r="D126" s="31" t="s">
        <v>29</v>
      </c>
      <c r="E126" t="s">
        <v>213</v>
      </c>
      <c r="F126" s="31" t="s">
        <v>324</v>
      </c>
      <c r="G126" s="56"/>
      <c r="H126" t="s">
        <v>32</v>
      </c>
      <c r="I126" t="s">
        <v>213</v>
      </c>
      <c r="J126" t="s">
        <v>325</v>
      </c>
    </row>
    <row r="127" spans="1:10" x14ac:dyDescent="0.25">
      <c r="A127" s="38" t="s">
        <v>57</v>
      </c>
      <c r="B127" s="39" t="s">
        <v>134</v>
      </c>
      <c r="C127" s="56"/>
      <c r="D127" s="31" t="s">
        <v>29</v>
      </c>
      <c r="E127" t="s">
        <v>213</v>
      </c>
      <c r="F127" s="31" t="s">
        <v>324</v>
      </c>
      <c r="G127" s="56"/>
      <c r="H127" t="s">
        <v>32</v>
      </c>
      <c r="I127" t="s">
        <v>213</v>
      </c>
      <c r="J127" t="s">
        <v>325</v>
      </c>
    </row>
    <row r="128" spans="1:10" x14ac:dyDescent="0.25">
      <c r="A128" s="38" t="s">
        <v>358</v>
      </c>
      <c r="B128" s="39" t="s">
        <v>359</v>
      </c>
      <c r="C128" s="56"/>
      <c r="D128" s="31">
        <v>100175</v>
      </c>
      <c r="E128" t="s">
        <v>213</v>
      </c>
      <c r="F128" s="31" t="s">
        <v>250</v>
      </c>
      <c r="G128" s="56"/>
      <c r="H128" t="s">
        <v>212</v>
      </c>
      <c r="I128" t="s">
        <v>213</v>
      </c>
      <c r="J128" t="s">
        <v>251</v>
      </c>
    </row>
    <row r="129" spans="1:10" x14ac:dyDescent="0.25">
      <c r="A129" s="38" t="s">
        <v>360</v>
      </c>
      <c r="B129" s="39" t="s">
        <v>361</v>
      </c>
      <c r="C129" s="56"/>
      <c r="D129" s="31">
        <v>100175</v>
      </c>
      <c r="E129" t="s">
        <v>213</v>
      </c>
      <c r="F129" s="31" t="s">
        <v>250</v>
      </c>
      <c r="G129" s="56"/>
      <c r="H129" t="s">
        <v>212</v>
      </c>
      <c r="I129" t="s">
        <v>213</v>
      </c>
      <c r="J129" t="s">
        <v>251</v>
      </c>
    </row>
    <row r="130" spans="1:10" x14ac:dyDescent="0.25">
      <c r="A130" s="38" t="s">
        <v>50</v>
      </c>
      <c r="B130" s="39" t="s">
        <v>362</v>
      </c>
      <c r="C130" s="56"/>
      <c r="D130" s="31" t="s">
        <v>29</v>
      </c>
      <c r="E130" t="s">
        <v>213</v>
      </c>
      <c r="F130" s="31" t="s">
        <v>324</v>
      </c>
      <c r="G130" s="56"/>
      <c r="H130" t="s">
        <v>32</v>
      </c>
      <c r="I130" t="s">
        <v>213</v>
      </c>
      <c r="J130" t="s">
        <v>325</v>
      </c>
    </row>
    <row r="131" spans="1:10" x14ac:dyDescent="0.25">
      <c r="A131" s="38" t="s">
        <v>55</v>
      </c>
      <c r="B131" s="39" t="s">
        <v>132</v>
      </c>
      <c r="C131" s="56"/>
      <c r="D131" s="31" t="s">
        <v>29</v>
      </c>
      <c r="E131" t="s">
        <v>213</v>
      </c>
      <c r="F131" s="31" t="s">
        <v>324</v>
      </c>
      <c r="G131" s="56"/>
      <c r="H131" t="s">
        <v>32</v>
      </c>
      <c r="I131" t="s">
        <v>213</v>
      </c>
      <c r="J131" t="s">
        <v>325</v>
      </c>
    </row>
    <row r="132" spans="1:10" x14ac:dyDescent="0.25">
      <c r="A132" s="41" t="s">
        <v>363</v>
      </c>
      <c r="B132" s="40" t="s">
        <v>364</v>
      </c>
      <c r="C132" s="56"/>
      <c r="D132" s="31" t="s">
        <v>211</v>
      </c>
      <c r="E132" t="s">
        <v>213</v>
      </c>
      <c r="F132" s="31" t="s">
        <v>265</v>
      </c>
      <c r="G132" s="56"/>
      <c r="H132" t="s">
        <v>32</v>
      </c>
      <c r="I132" t="s">
        <v>213</v>
      </c>
      <c r="J132" t="s">
        <v>266</v>
      </c>
    </row>
    <row r="133" spans="1:10" x14ac:dyDescent="0.25">
      <c r="A133" s="27"/>
      <c r="C133" s="56"/>
      <c r="D133" s="31"/>
      <c r="F133" s="31"/>
      <c r="G133" s="56"/>
    </row>
    <row r="134" spans="1:10" x14ac:dyDescent="0.25">
      <c r="A134" s="27"/>
      <c r="C134" s="56"/>
      <c r="D134" s="31"/>
      <c r="F134" s="31"/>
      <c r="G134" s="56"/>
    </row>
    <row r="135" spans="1:10" x14ac:dyDescent="0.25">
      <c r="A135" s="27"/>
      <c r="C135" s="56"/>
      <c r="D135" s="31"/>
      <c r="F135" s="31"/>
      <c r="G135" s="56"/>
    </row>
    <row r="136" spans="1:10" x14ac:dyDescent="0.25">
      <c r="A136" s="27"/>
      <c r="C136" s="56"/>
      <c r="D136" s="31"/>
      <c r="F136" s="31"/>
      <c r="G136" s="56"/>
    </row>
    <row r="137" spans="1:10" x14ac:dyDescent="0.25">
      <c r="A137" s="27"/>
      <c r="C137" s="56"/>
      <c r="D137" s="31"/>
      <c r="F137" s="31"/>
      <c r="G137" s="56"/>
    </row>
    <row r="138" spans="1:10" x14ac:dyDescent="0.25">
      <c r="A138" s="27"/>
      <c r="C138" s="56"/>
      <c r="D138" s="31"/>
      <c r="F138" s="31"/>
      <c r="G138" s="56"/>
    </row>
    <row r="139" spans="1:10" x14ac:dyDescent="0.25">
      <c r="A139" s="27"/>
      <c r="C139" s="56"/>
      <c r="D139" s="31"/>
      <c r="F139" s="31"/>
      <c r="G139" s="56"/>
    </row>
    <row r="140" spans="1:10" x14ac:dyDescent="0.25">
      <c r="A140" s="27"/>
      <c r="C140" s="56"/>
      <c r="D140" s="31"/>
      <c r="F140" s="31"/>
      <c r="G140" s="56"/>
    </row>
    <row r="141" spans="1:10" x14ac:dyDescent="0.25">
      <c r="A141" s="27"/>
      <c r="C141" s="56"/>
      <c r="D141" s="31"/>
      <c r="F141" s="31"/>
      <c r="G141" s="56"/>
    </row>
    <row r="142" spans="1:10" x14ac:dyDescent="0.25">
      <c r="A142" s="27"/>
      <c r="C142" s="56"/>
      <c r="D142" s="31"/>
      <c r="F142" s="31"/>
      <c r="G142" s="56"/>
    </row>
    <row r="143" spans="1:10" x14ac:dyDescent="0.25">
      <c r="A143" s="27"/>
      <c r="C143" s="56"/>
      <c r="D143" s="31"/>
      <c r="F143" s="31"/>
      <c r="G143" s="56"/>
    </row>
    <row r="144" spans="1:10" x14ac:dyDescent="0.25">
      <c r="A144" s="27"/>
      <c r="C144" s="56"/>
      <c r="D144" s="31"/>
      <c r="F144" s="31"/>
      <c r="G144" s="56"/>
    </row>
    <row r="145" spans="1:7" x14ac:dyDescent="0.25">
      <c r="A145" s="27"/>
      <c r="C145" s="56"/>
      <c r="D145" s="31"/>
      <c r="F145" s="31"/>
      <c r="G145" s="56"/>
    </row>
    <row r="146" spans="1:7" x14ac:dyDescent="0.25">
      <c r="A146" s="27"/>
      <c r="C146" s="56"/>
      <c r="D146" s="31"/>
      <c r="F146" s="31"/>
      <c r="G146" s="56"/>
    </row>
    <row r="147" spans="1:7" x14ac:dyDescent="0.25">
      <c r="A147" s="27"/>
      <c r="C147" s="56"/>
      <c r="D147" s="31"/>
      <c r="F147" s="31"/>
      <c r="G147" s="56"/>
    </row>
    <row r="148" spans="1:7" x14ac:dyDescent="0.25">
      <c r="A148" s="27"/>
      <c r="C148" s="56"/>
      <c r="D148" s="31"/>
      <c r="F148" s="31"/>
      <c r="G148" s="56"/>
    </row>
    <row r="149" spans="1:7" x14ac:dyDescent="0.25">
      <c r="A149" s="27"/>
      <c r="C149" s="56"/>
      <c r="D149" s="31"/>
      <c r="F149" s="31"/>
      <c r="G149" s="56"/>
    </row>
    <row r="150" spans="1:7" x14ac:dyDescent="0.25">
      <c r="A150" s="27"/>
      <c r="C150" s="56"/>
      <c r="D150" s="31"/>
      <c r="F150" s="31"/>
      <c r="G150" s="56"/>
    </row>
    <row r="151" spans="1:7" x14ac:dyDescent="0.25">
      <c r="A151" s="27"/>
      <c r="C151" s="56"/>
      <c r="D151" s="31"/>
      <c r="F151" s="31"/>
      <c r="G151" s="56"/>
    </row>
    <row r="152" spans="1:7" x14ac:dyDescent="0.25">
      <c r="A152" s="27"/>
      <c r="C152" s="56"/>
      <c r="D152" s="31"/>
      <c r="F152" s="31"/>
      <c r="G152" s="56"/>
    </row>
    <row r="153" spans="1:7" x14ac:dyDescent="0.25">
      <c r="A153" s="27"/>
      <c r="C153" s="56"/>
      <c r="D153" s="31"/>
      <c r="F153" s="31"/>
      <c r="G153" s="56"/>
    </row>
    <row r="154" spans="1:7" x14ac:dyDescent="0.25">
      <c r="A154" s="27"/>
      <c r="C154" s="56"/>
      <c r="D154" s="31"/>
      <c r="F154" s="31"/>
      <c r="G154" s="56"/>
    </row>
    <row r="155" spans="1:7" x14ac:dyDescent="0.25">
      <c r="A155" s="27"/>
      <c r="C155" s="56"/>
      <c r="D155" s="31"/>
      <c r="F155" s="31"/>
      <c r="G155" s="56"/>
    </row>
    <row r="156" spans="1:7" x14ac:dyDescent="0.25">
      <c r="A156" s="27"/>
      <c r="C156" s="56"/>
      <c r="D156" s="31"/>
      <c r="F156" s="31"/>
      <c r="G156" s="56"/>
    </row>
    <row r="157" spans="1:7" x14ac:dyDescent="0.25">
      <c r="A157" s="27"/>
      <c r="C157" s="56"/>
      <c r="D157" s="31"/>
      <c r="F157" s="31"/>
      <c r="G157" s="56"/>
    </row>
    <row r="158" spans="1:7" x14ac:dyDescent="0.25">
      <c r="A158" s="27"/>
      <c r="C158" s="56"/>
      <c r="D158" s="31"/>
      <c r="F158" s="31"/>
      <c r="G158" s="56"/>
    </row>
    <row r="159" spans="1:7" x14ac:dyDescent="0.25">
      <c r="A159" s="27"/>
      <c r="C159" s="56"/>
      <c r="D159" s="31"/>
      <c r="F159" s="31"/>
      <c r="G159" s="56"/>
    </row>
    <row r="160" spans="1:7" x14ac:dyDescent="0.25">
      <c r="A160" s="27"/>
      <c r="C160" s="56"/>
      <c r="D160" s="31"/>
      <c r="F160" s="31"/>
      <c r="G160" s="56"/>
    </row>
    <row r="161" spans="1:7" x14ac:dyDescent="0.25">
      <c r="A161" s="27"/>
      <c r="C161" s="56"/>
      <c r="D161" s="31"/>
      <c r="F161" s="31"/>
      <c r="G161" s="56"/>
    </row>
    <row r="162" spans="1:7" x14ac:dyDescent="0.25">
      <c r="A162" s="27"/>
      <c r="C162" s="56"/>
      <c r="D162" s="31"/>
      <c r="F162" s="31"/>
      <c r="G162" s="56"/>
    </row>
    <row r="163" spans="1:7" x14ac:dyDescent="0.25">
      <c r="A163" s="27"/>
      <c r="C163" s="56"/>
      <c r="D163" s="31"/>
      <c r="F163" s="31"/>
      <c r="G163" s="56"/>
    </row>
    <row r="164" spans="1:7" x14ac:dyDescent="0.25">
      <c r="A164" s="27"/>
      <c r="C164" s="56"/>
      <c r="D164" s="30"/>
      <c r="F164" s="30"/>
      <c r="G164" s="56"/>
    </row>
    <row r="165" spans="1:7" x14ac:dyDescent="0.25">
      <c r="A165" s="27"/>
      <c r="C165" s="56"/>
      <c r="D165" s="31"/>
      <c r="F165" s="31"/>
      <c r="G165" s="56"/>
    </row>
    <row r="166" spans="1:7" x14ac:dyDescent="0.25">
      <c r="A166" s="27"/>
      <c r="C166" s="56"/>
      <c r="D166" s="31"/>
      <c r="F166" s="31"/>
      <c r="G166" s="56"/>
    </row>
    <row r="167" spans="1:7" x14ac:dyDescent="0.25">
      <c r="A167" s="27"/>
      <c r="C167" s="56"/>
      <c r="D167" s="31"/>
      <c r="F167" s="31"/>
      <c r="G167" s="56"/>
    </row>
    <row r="168" spans="1:7" x14ac:dyDescent="0.25">
      <c r="A168" s="27"/>
      <c r="C168" s="56"/>
      <c r="D168" s="31"/>
      <c r="F168" s="31"/>
      <c r="G168" s="56"/>
    </row>
    <row r="169" spans="1:7" x14ac:dyDescent="0.25">
      <c r="A169" s="27"/>
      <c r="C169" s="56"/>
      <c r="D169" s="31"/>
      <c r="F169" s="31"/>
      <c r="G169" s="56"/>
    </row>
    <row r="170" spans="1:7" x14ac:dyDescent="0.25">
      <c r="A170" s="27"/>
      <c r="C170" s="56"/>
      <c r="D170" s="31"/>
      <c r="F170" s="31"/>
      <c r="G170" s="56"/>
    </row>
    <row r="171" spans="1:7" x14ac:dyDescent="0.25">
      <c r="A171" s="27"/>
      <c r="C171" s="56"/>
      <c r="D171" s="31"/>
      <c r="F171" s="31"/>
      <c r="G171" s="56"/>
    </row>
    <row r="172" spans="1:7" x14ac:dyDescent="0.25">
      <c r="A172" s="27"/>
      <c r="C172" s="56"/>
      <c r="D172" s="31"/>
      <c r="F172" s="31"/>
      <c r="G172" s="56"/>
    </row>
    <row r="173" spans="1:7" x14ac:dyDescent="0.25">
      <c r="A173" s="27"/>
      <c r="C173" s="56"/>
      <c r="D173" s="31"/>
      <c r="F173" s="31"/>
      <c r="G173" s="56"/>
    </row>
    <row r="174" spans="1:7" x14ac:dyDescent="0.25">
      <c r="A174" s="27"/>
      <c r="C174" s="56"/>
      <c r="D174" s="31"/>
      <c r="F174" s="31"/>
      <c r="G174" s="56"/>
    </row>
    <row r="175" spans="1:7" x14ac:dyDescent="0.25">
      <c r="A175" s="27"/>
      <c r="C175" s="56"/>
      <c r="D175" s="31"/>
      <c r="F175" s="31"/>
      <c r="G175" s="56"/>
    </row>
    <row r="176" spans="1:7" x14ac:dyDescent="0.25">
      <c r="A176" s="27"/>
      <c r="C176" s="56"/>
      <c r="D176" s="31"/>
      <c r="F176" s="31"/>
      <c r="G176" s="56"/>
    </row>
    <row r="177" spans="1:7" x14ac:dyDescent="0.25">
      <c r="A177" s="27"/>
      <c r="C177" s="56"/>
      <c r="D177" s="31"/>
      <c r="F177" s="31"/>
      <c r="G177" s="56"/>
    </row>
    <row r="178" spans="1:7" x14ac:dyDescent="0.25">
      <c r="A178" s="27"/>
      <c r="C178" s="56"/>
      <c r="D178" s="31"/>
      <c r="F178" s="31"/>
      <c r="G178" s="56"/>
    </row>
    <row r="179" spans="1:7" x14ac:dyDescent="0.25">
      <c r="A179" s="27"/>
      <c r="C179" s="56"/>
      <c r="D179" s="31"/>
      <c r="F179" s="31"/>
      <c r="G179" s="56"/>
    </row>
    <row r="180" spans="1:7" x14ac:dyDescent="0.25">
      <c r="A180" s="27"/>
      <c r="C180" s="56"/>
      <c r="D180" s="31"/>
      <c r="F180" s="31"/>
      <c r="G180" s="56"/>
    </row>
    <row r="181" spans="1:7" x14ac:dyDescent="0.25">
      <c r="A181" s="27"/>
      <c r="C181" s="56"/>
      <c r="D181" s="31"/>
      <c r="F181" s="31"/>
      <c r="G181" s="56"/>
    </row>
    <row r="182" spans="1:7" x14ac:dyDescent="0.25">
      <c r="A182" s="27"/>
      <c r="C182" s="56"/>
      <c r="D182" s="31"/>
      <c r="F182" s="31"/>
      <c r="G182" s="56"/>
    </row>
    <row r="183" spans="1:7" x14ac:dyDescent="0.25">
      <c r="A183" s="27"/>
      <c r="C183" s="56"/>
      <c r="D183" s="31"/>
      <c r="F183" s="31"/>
      <c r="G183" s="56"/>
    </row>
    <row r="184" spans="1:7" x14ac:dyDescent="0.25">
      <c r="A184" s="27"/>
      <c r="C184" s="56"/>
      <c r="D184" s="31"/>
      <c r="F184" s="31"/>
      <c r="G184" s="56"/>
    </row>
    <row r="185" spans="1:7" x14ac:dyDescent="0.25">
      <c r="A185" s="27"/>
      <c r="C185" s="56"/>
      <c r="D185" s="31"/>
      <c r="F185" s="31"/>
      <c r="G185" s="56"/>
    </row>
    <row r="186" spans="1:7" x14ac:dyDescent="0.25">
      <c r="A186" s="27"/>
      <c r="C186" s="56"/>
      <c r="D186" s="31"/>
      <c r="F186" s="31"/>
      <c r="G186" s="56"/>
    </row>
    <row r="187" spans="1:7" x14ac:dyDescent="0.25">
      <c r="A187" s="27"/>
      <c r="C187" s="56"/>
      <c r="D187" s="31"/>
      <c r="F187" s="31"/>
      <c r="G187" s="56"/>
    </row>
    <row r="188" spans="1:7" x14ac:dyDescent="0.25">
      <c r="A188" s="27"/>
      <c r="C188" s="56"/>
      <c r="D188" s="31"/>
      <c r="F188" s="31"/>
      <c r="G188" s="56"/>
    </row>
    <row r="189" spans="1:7" x14ac:dyDescent="0.25">
      <c r="A189" s="27"/>
      <c r="C189" s="56"/>
      <c r="D189" s="30"/>
      <c r="F189" s="30"/>
      <c r="G189" s="56"/>
    </row>
    <row r="190" spans="1:7" x14ac:dyDescent="0.25">
      <c r="A190" s="27"/>
      <c r="C190" s="56"/>
      <c r="D190" s="31"/>
      <c r="F190" s="31"/>
      <c r="G190" s="56"/>
    </row>
    <row r="191" spans="1:7" x14ac:dyDescent="0.25">
      <c r="A191" s="27"/>
      <c r="C191" s="56"/>
      <c r="D191" s="31"/>
      <c r="F191" s="31"/>
      <c r="G191" s="56"/>
    </row>
    <row r="192" spans="1:7" x14ac:dyDescent="0.25">
      <c r="A192" s="27"/>
      <c r="C192" s="56"/>
      <c r="D192" s="31"/>
      <c r="F192" s="31"/>
      <c r="G192" s="56"/>
    </row>
    <row r="193" spans="1:7" x14ac:dyDescent="0.25">
      <c r="A193" s="27"/>
      <c r="C193" s="56"/>
      <c r="D193" s="31"/>
      <c r="F193" s="31"/>
      <c r="G193" s="56"/>
    </row>
    <row r="194" spans="1:7" x14ac:dyDescent="0.25">
      <c r="A194" s="27"/>
      <c r="C194" s="56"/>
      <c r="D194" s="31"/>
      <c r="F194" s="31"/>
      <c r="G194" s="56"/>
    </row>
    <row r="195" spans="1:7" x14ac:dyDescent="0.25">
      <c r="A195" s="27"/>
      <c r="C195" s="56"/>
      <c r="D195" s="31"/>
      <c r="F195" s="31"/>
      <c r="G195" s="56"/>
    </row>
    <row r="196" spans="1:7" x14ac:dyDescent="0.25">
      <c r="A196" s="27"/>
      <c r="C196" s="56"/>
      <c r="D196" s="31"/>
      <c r="F196" s="31"/>
      <c r="G196" s="56"/>
    </row>
    <row r="197" spans="1:7" x14ac:dyDescent="0.25">
      <c r="A197" s="27"/>
      <c r="C197" s="56"/>
      <c r="D197" s="31"/>
      <c r="F197" s="31"/>
      <c r="G197" s="56"/>
    </row>
    <row r="198" spans="1:7" x14ac:dyDescent="0.25">
      <c r="A198" s="27"/>
      <c r="C198" s="56"/>
      <c r="D198" s="31"/>
      <c r="F198" s="31"/>
      <c r="G198" s="56"/>
    </row>
    <row r="199" spans="1:7" x14ac:dyDescent="0.25">
      <c r="A199" s="27"/>
      <c r="C199" s="56"/>
      <c r="D199" s="31"/>
      <c r="F199" s="31"/>
      <c r="G199" s="56"/>
    </row>
    <row r="200" spans="1:7" x14ac:dyDescent="0.25">
      <c r="A200" s="27"/>
      <c r="C200" s="56"/>
      <c r="D200" s="31"/>
      <c r="F200" s="31"/>
      <c r="G200" s="56"/>
    </row>
    <row r="201" spans="1:7" x14ac:dyDescent="0.25">
      <c r="A201" s="27"/>
      <c r="C201" s="56"/>
      <c r="D201" s="31"/>
      <c r="F201" s="31"/>
      <c r="G201" s="56"/>
    </row>
    <row r="202" spans="1:7" x14ac:dyDescent="0.25">
      <c r="A202" s="27"/>
      <c r="C202" s="56"/>
      <c r="D202" s="31"/>
      <c r="F202" s="31"/>
      <c r="G202" s="56"/>
    </row>
    <row r="203" spans="1:7" x14ac:dyDescent="0.25">
      <c r="A203" s="27"/>
      <c r="C203" s="56"/>
      <c r="D203" s="31"/>
      <c r="F203" s="31"/>
      <c r="G203" s="56"/>
    </row>
    <row r="204" spans="1:7" x14ac:dyDescent="0.25">
      <c r="A204" s="27"/>
      <c r="C204" s="56"/>
      <c r="D204" s="31"/>
      <c r="F204" s="31"/>
      <c r="G204" s="56"/>
    </row>
    <row r="205" spans="1:7" x14ac:dyDescent="0.25">
      <c r="A205" s="27"/>
      <c r="C205" s="56"/>
      <c r="D205" s="31"/>
      <c r="F205" s="31"/>
      <c r="G205" s="56"/>
    </row>
    <row r="206" spans="1:7" x14ac:dyDescent="0.25">
      <c r="A206" s="27"/>
      <c r="C206" s="56"/>
      <c r="D206" s="31"/>
      <c r="F206" s="31"/>
      <c r="G206" s="56"/>
    </row>
    <row r="207" spans="1:7" x14ac:dyDescent="0.25">
      <c r="A207" s="27"/>
      <c r="C207" s="56"/>
      <c r="D207" s="31"/>
      <c r="F207" s="31"/>
      <c r="G207" s="56"/>
    </row>
    <row r="208" spans="1:7" x14ac:dyDescent="0.25">
      <c r="A208" s="27"/>
      <c r="C208" s="56"/>
      <c r="D208" s="31"/>
      <c r="F208" s="31"/>
      <c r="G208" s="56"/>
    </row>
    <row r="209" spans="1:7" x14ac:dyDescent="0.25">
      <c r="A209" s="27"/>
      <c r="C209" s="56"/>
      <c r="D209" s="31"/>
      <c r="F209" s="31"/>
      <c r="G209" s="56"/>
    </row>
    <row r="210" spans="1:7" x14ac:dyDescent="0.25">
      <c r="A210" s="27"/>
      <c r="C210" s="56"/>
      <c r="D210" s="31"/>
      <c r="F210" s="31"/>
      <c r="G210" s="56"/>
    </row>
    <row r="211" spans="1:7" x14ac:dyDescent="0.25">
      <c r="A211" s="27"/>
      <c r="C211" s="56"/>
      <c r="D211" s="31"/>
      <c r="F211" s="31"/>
      <c r="G211" s="56"/>
    </row>
    <row r="212" spans="1:7" x14ac:dyDescent="0.25">
      <c r="A212" s="27"/>
      <c r="C212" s="56"/>
      <c r="D212" s="31"/>
      <c r="F212" s="31"/>
      <c r="G212" s="56"/>
    </row>
    <row r="213" spans="1:7" x14ac:dyDescent="0.25">
      <c r="A213" s="27"/>
      <c r="C213" s="56"/>
      <c r="D213" s="31"/>
      <c r="F213" s="31"/>
      <c r="G213" s="56"/>
    </row>
    <row r="214" spans="1:7" x14ac:dyDescent="0.25">
      <c r="A214" s="27"/>
      <c r="C214" s="56"/>
      <c r="D214" s="31"/>
      <c r="F214" s="31"/>
      <c r="G214" s="56"/>
    </row>
    <row r="215" spans="1:7" x14ac:dyDescent="0.25">
      <c r="A215" s="27"/>
      <c r="C215" s="56"/>
      <c r="D215" s="31"/>
      <c r="F215" s="31"/>
      <c r="G215" s="56"/>
    </row>
    <row r="216" spans="1:7" x14ac:dyDescent="0.25">
      <c r="A216" s="27"/>
      <c r="C216" s="56"/>
      <c r="D216" s="31"/>
      <c r="F216" s="31"/>
      <c r="G216" s="56"/>
    </row>
    <row r="217" spans="1:7" x14ac:dyDescent="0.25">
      <c r="A217" s="27"/>
      <c r="C217" s="56"/>
      <c r="D217" s="31"/>
      <c r="F217" s="31"/>
      <c r="G217" s="56"/>
    </row>
    <row r="218" spans="1:7" x14ac:dyDescent="0.25">
      <c r="A218" s="27"/>
      <c r="C218" s="56"/>
      <c r="D218" s="31"/>
      <c r="F218" s="31"/>
      <c r="G218" s="56"/>
    </row>
    <row r="219" spans="1:7" x14ac:dyDescent="0.25">
      <c r="A219" s="27"/>
      <c r="C219" s="56"/>
      <c r="D219" s="31"/>
      <c r="F219" s="31"/>
      <c r="G219" s="56"/>
    </row>
    <row r="220" spans="1:7" x14ac:dyDescent="0.25">
      <c r="A220" s="27"/>
      <c r="C220" s="56"/>
      <c r="D220" s="31"/>
      <c r="F220" s="31"/>
      <c r="G220" s="56"/>
    </row>
    <row r="221" spans="1:7" x14ac:dyDescent="0.25">
      <c r="A221" s="27"/>
      <c r="C221" s="56"/>
      <c r="D221" s="31"/>
      <c r="F221" s="31"/>
      <c r="G221" s="56"/>
    </row>
    <row r="222" spans="1:7" x14ac:dyDescent="0.25">
      <c r="A222" s="27"/>
      <c r="C222" s="56"/>
      <c r="D222" s="31"/>
      <c r="F222" s="31"/>
      <c r="G222" s="56"/>
    </row>
    <row r="223" spans="1:7" x14ac:dyDescent="0.25">
      <c r="A223" s="27"/>
      <c r="C223" s="56"/>
      <c r="D223" s="31"/>
      <c r="F223" s="31"/>
      <c r="G223" s="56"/>
    </row>
    <row r="224" spans="1:7" x14ac:dyDescent="0.25">
      <c r="A224" s="27"/>
      <c r="C224" s="56"/>
      <c r="D224" s="31"/>
      <c r="F224" s="31"/>
      <c r="G224" s="56"/>
    </row>
    <row r="225" spans="1:7" x14ac:dyDescent="0.25">
      <c r="A225" s="27"/>
      <c r="C225" s="56"/>
      <c r="D225" s="31"/>
      <c r="F225" s="31"/>
      <c r="G225" s="56"/>
    </row>
    <row r="226" spans="1:7" x14ac:dyDescent="0.25">
      <c r="A226" s="27"/>
      <c r="C226" s="56"/>
      <c r="D226" s="31"/>
      <c r="F226" s="31"/>
      <c r="G226" s="56"/>
    </row>
    <row r="227" spans="1:7" x14ac:dyDescent="0.25">
      <c r="A227" s="27"/>
      <c r="C227" s="56"/>
      <c r="D227" s="31"/>
      <c r="F227" s="31"/>
      <c r="G227" s="56"/>
    </row>
    <row r="228" spans="1:7" x14ac:dyDescent="0.25">
      <c r="A228" s="27"/>
      <c r="C228" s="56"/>
      <c r="D228" s="31"/>
      <c r="F228" s="31"/>
      <c r="G228" s="56"/>
    </row>
    <row r="229" spans="1:7" x14ac:dyDescent="0.25">
      <c r="A229" s="27"/>
      <c r="C229" s="56"/>
      <c r="D229" s="31"/>
      <c r="F229" s="31"/>
      <c r="G229" s="56"/>
    </row>
    <row r="230" spans="1:7" x14ac:dyDescent="0.25">
      <c r="A230" s="27"/>
      <c r="C230" s="56"/>
      <c r="D230" s="31"/>
      <c r="F230" s="31"/>
      <c r="G230" s="56"/>
    </row>
    <row r="231" spans="1:7" x14ac:dyDescent="0.25">
      <c r="A231" s="27"/>
      <c r="C231" s="56"/>
      <c r="D231" s="31"/>
      <c r="F231" s="31"/>
      <c r="G231" s="56"/>
    </row>
    <row r="232" spans="1:7" x14ac:dyDescent="0.25">
      <c r="A232" s="27"/>
      <c r="C232" s="56"/>
      <c r="D232" s="31"/>
      <c r="F232" s="31"/>
      <c r="G232" s="56"/>
    </row>
    <row r="233" spans="1:7" x14ac:dyDescent="0.25">
      <c r="A233" s="27"/>
      <c r="C233" s="56"/>
      <c r="D233" s="31"/>
      <c r="F233" s="31"/>
      <c r="G233" s="56"/>
    </row>
    <row r="234" spans="1:7" x14ac:dyDescent="0.25">
      <c r="A234" s="27"/>
      <c r="C234" s="56"/>
      <c r="D234" s="31"/>
      <c r="F234" s="31"/>
      <c r="G234" s="56"/>
    </row>
    <row r="235" spans="1:7" x14ac:dyDescent="0.25">
      <c r="A235" s="27"/>
      <c r="C235" s="56"/>
      <c r="D235" s="31"/>
      <c r="F235" s="31"/>
      <c r="G235" s="56"/>
    </row>
    <row r="236" spans="1:7" x14ac:dyDescent="0.25">
      <c r="A236" s="27"/>
      <c r="C236" s="56"/>
      <c r="D236" s="31"/>
      <c r="F236" s="31"/>
      <c r="G236" s="56"/>
    </row>
    <row r="237" spans="1:7" x14ac:dyDescent="0.25">
      <c r="A237" s="27"/>
      <c r="C237" s="56"/>
      <c r="D237" s="31"/>
      <c r="F237" s="31"/>
      <c r="G237" s="56"/>
    </row>
    <row r="238" spans="1:7" x14ac:dyDescent="0.25">
      <c r="A238" s="27"/>
      <c r="C238" s="56"/>
      <c r="D238" s="31"/>
      <c r="F238" s="31"/>
      <c r="G238" s="56"/>
    </row>
    <row r="239" spans="1:7" x14ac:dyDescent="0.25">
      <c r="A239" s="27"/>
      <c r="C239" s="56"/>
      <c r="D239" s="31"/>
      <c r="F239" s="31"/>
      <c r="G239" s="56"/>
    </row>
    <row r="240" spans="1:7" x14ac:dyDescent="0.25">
      <c r="A240" s="27"/>
      <c r="C240" s="56"/>
      <c r="D240" s="31"/>
      <c r="F240" s="31"/>
      <c r="G240" s="56"/>
    </row>
    <row r="241" spans="1:7" x14ac:dyDescent="0.25">
      <c r="A241" s="27"/>
      <c r="C241" s="56"/>
      <c r="D241" s="31"/>
      <c r="F241" s="31"/>
      <c r="G241" s="56"/>
    </row>
    <row r="242" spans="1:7" x14ac:dyDescent="0.25">
      <c r="A242" s="27"/>
      <c r="C242" s="56"/>
      <c r="D242" s="31"/>
      <c r="F242" s="31"/>
      <c r="G242" s="56"/>
    </row>
    <row r="243" spans="1:7" x14ac:dyDescent="0.25">
      <c r="A243" s="27"/>
      <c r="C243" s="56"/>
      <c r="D243" s="31"/>
      <c r="F243" s="31"/>
      <c r="G243" s="56"/>
    </row>
    <row r="244" spans="1:7" x14ac:dyDescent="0.25">
      <c r="A244" s="27"/>
      <c r="C244" s="56"/>
      <c r="D244" s="31"/>
      <c r="F244" s="31"/>
      <c r="G244" s="56"/>
    </row>
    <row r="245" spans="1:7" x14ac:dyDescent="0.25">
      <c r="A245" s="27"/>
      <c r="C245" s="56"/>
      <c r="D245" s="31"/>
      <c r="F245" s="31"/>
      <c r="G245" s="56"/>
    </row>
    <row r="246" spans="1:7" x14ac:dyDescent="0.25">
      <c r="A246" s="27"/>
      <c r="C246" s="56"/>
      <c r="D246" s="31"/>
      <c r="F246" s="31"/>
      <c r="G246" s="56"/>
    </row>
    <row r="247" spans="1:7" x14ac:dyDescent="0.25">
      <c r="A247" s="27"/>
      <c r="C247" s="56"/>
      <c r="D247" s="31"/>
      <c r="F247" s="31"/>
      <c r="G247" s="56"/>
    </row>
    <row r="248" spans="1:7" x14ac:dyDescent="0.25">
      <c r="A248" s="27"/>
      <c r="C248" s="56"/>
      <c r="D248" s="31"/>
      <c r="F248" s="31"/>
      <c r="G248" s="56"/>
    </row>
    <row r="249" spans="1:7" x14ac:dyDescent="0.25">
      <c r="A249" s="27"/>
      <c r="C249" s="56"/>
      <c r="D249" s="31"/>
      <c r="F249" s="31"/>
      <c r="G249" s="56"/>
    </row>
    <row r="250" spans="1:7" x14ac:dyDescent="0.25">
      <c r="A250" s="27"/>
      <c r="C250" s="56"/>
      <c r="D250" s="31"/>
      <c r="F250" s="31"/>
      <c r="G250" s="56"/>
    </row>
    <row r="251" spans="1:7" x14ac:dyDescent="0.25">
      <c r="A251" s="27"/>
      <c r="C251" s="56"/>
      <c r="D251" s="31"/>
      <c r="F251" s="31"/>
      <c r="G251" s="56"/>
    </row>
    <row r="252" spans="1:7" x14ac:dyDescent="0.25">
      <c r="A252" s="27"/>
      <c r="C252" s="56"/>
      <c r="D252" s="31"/>
      <c r="F252" s="31"/>
      <c r="G252" s="56"/>
    </row>
    <row r="253" spans="1:7" x14ac:dyDescent="0.25">
      <c r="A253" s="27"/>
      <c r="C253" s="56"/>
      <c r="D253" s="31"/>
      <c r="F253" s="31"/>
      <c r="G253" s="56"/>
    </row>
    <row r="254" spans="1:7" x14ac:dyDescent="0.25">
      <c r="A254" s="27"/>
      <c r="C254" s="56"/>
      <c r="D254" s="31"/>
      <c r="F254" s="31"/>
      <c r="G254" s="56"/>
    </row>
    <row r="255" spans="1:7" x14ac:dyDescent="0.25">
      <c r="A255" s="27"/>
      <c r="C255" s="56"/>
      <c r="D255" s="31"/>
      <c r="F255" s="31"/>
      <c r="G255" s="56"/>
    </row>
    <row r="256" spans="1:7" x14ac:dyDescent="0.25">
      <c r="A256" s="27"/>
      <c r="C256" s="56"/>
      <c r="D256" s="31"/>
      <c r="F256" s="31"/>
      <c r="G256" s="56"/>
    </row>
    <row r="257" spans="1:7" x14ac:dyDescent="0.25">
      <c r="A257" s="27"/>
      <c r="C257" s="56"/>
      <c r="D257" s="31"/>
      <c r="F257" s="31"/>
      <c r="G257" s="56"/>
    </row>
    <row r="258" spans="1:7" x14ac:dyDescent="0.25">
      <c r="A258" s="27"/>
      <c r="C258" s="56"/>
      <c r="D258" s="31"/>
      <c r="F258" s="31"/>
      <c r="G258" s="56"/>
    </row>
    <row r="259" spans="1:7" x14ac:dyDescent="0.25">
      <c r="A259" s="27"/>
      <c r="C259" s="56"/>
      <c r="D259" s="31"/>
      <c r="F259" s="31"/>
      <c r="G259" s="56"/>
    </row>
    <row r="260" spans="1:7" x14ac:dyDescent="0.25">
      <c r="A260" s="27"/>
      <c r="C260" s="56"/>
      <c r="D260" s="31"/>
      <c r="F260" s="31"/>
      <c r="G260" s="56"/>
    </row>
    <row r="261" spans="1:7" x14ac:dyDescent="0.25">
      <c r="A261" s="27"/>
      <c r="C261" s="56"/>
      <c r="D261" s="31"/>
      <c r="F261" s="31"/>
      <c r="G261" s="56"/>
    </row>
    <row r="262" spans="1:7" x14ac:dyDescent="0.25">
      <c r="A262" s="27"/>
      <c r="C262" s="56"/>
      <c r="D262" s="31"/>
      <c r="F262" s="31"/>
      <c r="G262" s="56"/>
    </row>
    <row r="263" spans="1:7" x14ac:dyDescent="0.25">
      <c r="A263" s="27"/>
      <c r="C263" s="56"/>
      <c r="D263" s="31"/>
      <c r="F263" s="31"/>
      <c r="G263" s="56"/>
    </row>
    <row r="264" spans="1:7" x14ac:dyDescent="0.25">
      <c r="A264" s="27"/>
      <c r="C264" s="56"/>
      <c r="D264" s="31"/>
      <c r="F264" s="31"/>
      <c r="G264" s="56"/>
    </row>
    <row r="265" spans="1:7" x14ac:dyDescent="0.25">
      <c r="A265" s="27"/>
      <c r="C265" s="56"/>
      <c r="D265" s="31"/>
      <c r="F265" s="31"/>
      <c r="G265" s="56"/>
    </row>
    <row r="266" spans="1:7" x14ac:dyDescent="0.25">
      <c r="A266" s="27"/>
      <c r="C266" s="56"/>
      <c r="D266" s="31"/>
      <c r="F266" s="31"/>
      <c r="G266" s="56"/>
    </row>
    <row r="267" spans="1:7" x14ac:dyDescent="0.25">
      <c r="A267" s="27"/>
      <c r="C267" s="56"/>
      <c r="D267" s="31"/>
      <c r="F267" s="31"/>
      <c r="G267" s="56"/>
    </row>
    <row r="268" spans="1:7" x14ac:dyDescent="0.25">
      <c r="A268" s="27"/>
      <c r="C268" s="56"/>
      <c r="D268" s="31"/>
      <c r="F268" s="31"/>
      <c r="G268" s="56"/>
    </row>
    <row r="269" spans="1:7" x14ac:dyDescent="0.25">
      <c r="A269" s="27"/>
      <c r="C269" s="56"/>
      <c r="D269" s="31"/>
      <c r="F269" s="31"/>
      <c r="G269" s="56"/>
    </row>
    <row r="270" spans="1:7" x14ac:dyDescent="0.25">
      <c r="A270" s="27"/>
      <c r="C270" s="56"/>
      <c r="D270" s="31"/>
      <c r="F270" s="31"/>
      <c r="G270" s="56"/>
    </row>
    <row r="271" spans="1:7" x14ac:dyDescent="0.25">
      <c r="A271" s="27"/>
      <c r="C271" s="56"/>
      <c r="D271" s="31"/>
      <c r="F271" s="31"/>
      <c r="G271" s="56"/>
    </row>
    <row r="272" spans="1:7" x14ac:dyDescent="0.25">
      <c r="A272" s="27"/>
      <c r="C272" s="56"/>
      <c r="D272" s="31"/>
      <c r="F272" s="31"/>
      <c r="G272" s="56"/>
    </row>
    <row r="273" spans="1:7" x14ac:dyDescent="0.25">
      <c r="A273" s="27"/>
      <c r="C273" s="56"/>
      <c r="D273" s="31"/>
      <c r="F273" s="31"/>
      <c r="G273" s="56"/>
    </row>
    <row r="274" spans="1:7" x14ac:dyDescent="0.25">
      <c r="A274" s="27"/>
      <c r="C274" s="56"/>
      <c r="D274" s="31"/>
      <c r="F274" s="31"/>
      <c r="G274" s="56"/>
    </row>
    <row r="275" spans="1:7" x14ac:dyDescent="0.25">
      <c r="A275" s="27"/>
      <c r="C275" s="56"/>
      <c r="D275" s="31"/>
      <c r="F275" s="31"/>
      <c r="G275" s="56"/>
    </row>
    <row r="276" spans="1:7" x14ac:dyDescent="0.25">
      <c r="A276" s="27"/>
      <c r="C276" s="56"/>
      <c r="D276" s="31"/>
      <c r="F276" s="31"/>
      <c r="G276" s="56"/>
    </row>
    <row r="277" spans="1:7" x14ac:dyDescent="0.25">
      <c r="A277" s="27"/>
      <c r="C277" s="56"/>
      <c r="D277" s="31"/>
      <c r="F277" s="31"/>
      <c r="G277" s="56"/>
    </row>
    <row r="278" spans="1:7" x14ac:dyDescent="0.25">
      <c r="A278" s="27"/>
      <c r="C278" s="56"/>
      <c r="D278" s="31"/>
      <c r="F278" s="31"/>
      <c r="G278" s="56"/>
    </row>
    <row r="279" spans="1:7" x14ac:dyDescent="0.25">
      <c r="A279" s="27"/>
      <c r="C279" s="56"/>
      <c r="D279" s="31"/>
      <c r="F279" s="31"/>
      <c r="G279" s="56"/>
    </row>
    <row r="280" spans="1:7" x14ac:dyDescent="0.25">
      <c r="A280" s="27"/>
      <c r="C280" s="56"/>
      <c r="D280" s="31"/>
      <c r="F280" s="31"/>
      <c r="G280" s="56"/>
    </row>
    <row r="281" spans="1:7" x14ac:dyDescent="0.25">
      <c r="A281" s="27"/>
      <c r="C281" s="56"/>
      <c r="D281" s="31"/>
      <c r="F281" s="31"/>
      <c r="G281" s="56"/>
    </row>
    <row r="282" spans="1:7" x14ac:dyDescent="0.25">
      <c r="A282" s="27"/>
      <c r="C282" s="56"/>
      <c r="D282" s="31"/>
      <c r="F282" s="31"/>
      <c r="G282" s="56"/>
    </row>
    <row r="283" spans="1:7" x14ac:dyDescent="0.25">
      <c r="A283" s="27"/>
      <c r="C283" s="56"/>
      <c r="D283" s="31"/>
      <c r="F283" s="31"/>
      <c r="G283" s="56"/>
    </row>
    <row r="284" spans="1:7" x14ac:dyDescent="0.25">
      <c r="A284" s="27"/>
      <c r="C284" s="56"/>
      <c r="D284" s="31"/>
      <c r="F284" s="31"/>
      <c r="G284" s="56"/>
    </row>
    <row r="285" spans="1:7" x14ac:dyDescent="0.25">
      <c r="A285" s="27"/>
      <c r="C285" s="56"/>
      <c r="D285" s="31"/>
      <c r="F285" s="31"/>
      <c r="G285" s="56"/>
    </row>
    <row r="286" spans="1:7" x14ac:dyDescent="0.25">
      <c r="A286" s="27"/>
      <c r="C286" s="56"/>
      <c r="D286" s="31"/>
      <c r="F286" s="31"/>
      <c r="G286" s="56"/>
    </row>
    <row r="287" spans="1:7" x14ac:dyDescent="0.25">
      <c r="A287" s="27"/>
      <c r="C287" s="56"/>
      <c r="D287" s="31"/>
      <c r="F287" s="31"/>
      <c r="G287" s="56"/>
    </row>
    <row r="288" spans="1:7" x14ac:dyDescent="0.25">
      <c r="A288" s="27"/>
      <c r="C288" s="56"/>
      <c r="D288" s="31"/>
      <c r="F288" s="31"/>
      <c r="G288" s="56"/>
    </row>
    <row r="289" spans="1:7" x14ac:dyDescent="0.25">
      <c r="A289" s="27"/>
      <c r="C289" s="56"/>
      <c r="D289" s="31"/>
      <c r="F289" s="31"/>
      <c r="G289" s="56"/>
    </row>
    <row r="290" spans="1:7" x14ac:dyDescent="0.25">
      <c r="A290" s="27"/>
      <c r="C290" s="56"/>
      <c r="D290" s="31"/>
      <c r="F290" s="31"/>
      <c r="G290" s="56"/>
    </row>
    <row r="291" spans="1:7" x14ac:dyDescent="0.25">
      <c r="A291" s="27"/>
      <c r="C291" s="56"/>
      <c r="D291" s="31"/>
      <c r="F291" s="31"/>
      <c r="G291" s="56"/>
    </row>
    <row r="292" spans="1:7" x14ac:dyDescent="0.25">
      <c r="A292" s="27"/>
      <c r="C292" s="56"/>
      <c r="D292" s="31"/>
      <c r="F292" s="31"/>
      <c r="G292" s="56"/>
    </row>
    <row r="293" spans="1:7" x14ac:dyDescent="0.25">
      <c r="A293" s="27"/>
      <c r="C293" s="56"/>
      <c r="D293" s="31"/>
      <c r="F293" s="31"/>
      <c r="G293" s="56"/>
    </row>
    <row r="294" spans="1:7" x14ac:dyDescent="0.25">
      <c r="A294" s="27"/>
      <c r="C294" s="56"/>
      <c r="D294" s="31"/>
      <c r="F294" s="31"/>
      <c r="G294" s="56"/>
    </row>
    <row r="295" spans="1:7" x14ac:dyDescent="0.25">
      <c r="A295" s="27"/>
      <c r="C295" s="56"/>
      <c r="D295" s="31"/>
      <c r="F295" s="31"/>
      <c r="G295" s="56"/>
    </row>
    <row r="296" spans="1:7" x14ac:dyDescent="0.25">
      <c r="A296" s="27"/>
      <c r="C296" s="56"/>
      <c r="D296" s="31"/>
      <c r="F296" s="31"/>
      <c r="G296" s="56"/>
    </row>
    <row r="297" spans="1:7" x14ac:dyDescent="0.25">
      <c r="A297" s="27"/>
      <c r="C297" s="56"/>
      <c r="D297" s="31"/>
      <c r="F297" s="31"/>
      <c r="G297" s="56"/>
    </row>
    <row r="298" spans="1:7" x14ac:dyDescent="0.25">
      <c r="A298" s="27"/>
      <c r="C298" s="56"/>
      <c r="D298" s="31"/>
      <c r="F298" s="31"/>
      <c r="G298" s="56"/>
    </row>
    <row r="299" spans="1:7" x14ac:dyDescent="0.25">
      <c r="A299" s="27"/>
      <c r="C299" s="56"/>
      <c r="D299" s="31"/>
      <c r="F299" s="31"/>
      <c r="G299" s="56"/>
    </row>
    <row r="300" spans="1:7" x14ac:dyDescent="0.25">
      <c r="A300" s="27"/>
      <c r="C300" s="56"/>
      <c r="D300" s="31"/>
      <c r="F300" s="31"/>
      <c r="G300" s="56"/>
    </row>
    <row r="301" spans="1:7" x14ac:dyDescent="0.25">
      <c r="A301" s="27"/>
      <c r="C301" s="56"/>
      <c r="D301" s="31"/>
      <c r="F301" s="31"/>
      <c r="G301" s="56"/>
    </row>
    <row r="302" spans="1:7" x14ac:dyDescent="0.25">
      <c r="A302" s="27"/>
      <c r="C302" s="56"/>
      <c r="D302" s="31"/>
      <c r="F302" s="31"/>
      <c r="G302" s="56"/>
    </row>
    <row r="303" spans="1:7" x14ac:dyDescent="0.25">
      <c r="A303" s="27"/>
      <c r="C303" s="56"/>
      <c r="D303" s="31"/>
      <c r="F303" s="31"/>
      <c r="G303" s="56"/>
    </row>
    <row r="304" spans="1:7" x14ac:dyDescent="0.25">
      <c r="A304" s="27"/>
      <c r="C304" s="56"/>
      <c r="D304" s="31"/>
      <c r="F304" s="31"/>
      <c r="G304" s="56"/>
    </row>
    <row r="305" spans="1:7" x14ac:dyDescent="0.25">
      <c r="A305" s="27"/>
      <c r="C305" s="56"/>
      <c r="D305" s="31"/>
      <c r="F305" s="31"/>
      <c r="G305" s="56"/>
    </row>
    <row r="306" spans="1:7" x14ac:dyDescent="0.25">
      <c r="A306" s="27"/>
      <c r="C306" s="56"/>
      <c r="D306" s="30"/>
      <c r="F306" s="30"/>
      <c r="G306" s="56"/>
    </row>
    <row r="307" spans="1:7" x14ac:dyDescent="0.25">
      <c r="A307" s="27"/>
      <c r="C307" s="56"/>
      <c r="D307" s="31"/>
      <c r="F307" s="31"/>
      <c r="G307" s="56"/>
    </row>
    <row r="308" spans="1:7" x14ac:dyDescent="0.25">
      <c r="A308" s="27"/>
      <c r="C308" s="56"/>
      <c r="D308" s="31"/>
      <c r="F308" s="31"/>
      <c r="G308" s="56"/>
    </row>
    <row r="309" spans="1:7" x14ac:dyDescent="0.25">
      <c r="A309" s="27"/>
      <c r="C309" s="56"/>
      <c r="D309" s="31"/>
      <c r="F309" s="31"/>
      <c r="G309" s="56"/>
    </row>
    <row r="310" spans="1:7" x14ac:dyDescent="0.25">
      <c r="A310" s="27"/>
      <c r="C310" s="56"/>
      <c r="D310" s="31"/>
      <c r="F310" s="31"/>
      <c r="G310" s="56"/>
    </row>
    <row r="311" spans="1:7" x14ac:dyDescent="0.25">
      <c r="A311" s="27"/>
      <c r="C311" s="56"/>
      <c r="D311" s="30"/>
      <c r="F311" s="30"/>
      <c r="G311" s="56"/>
    </row>
    <row r="312" spans="1:7" x14ac:dyDescent="0.25">
      <c r="A312" s="27"/>
      <c r="C312" s="56"/>
      <c r="D312" s="31"/>
      <c r="F312" s="31"/>
      <c r="G312" s="56"/>
    </row>
    <row r="313" spans="1:7" x14ac:dyDescent="0.25">
      <c r="A313" s="27"/>
      <c r="C313" s="56"/>
      <c r="D313" s="31"/>
      <c r="F313" s="31"/>
      <c r="G313" s="56"/>
    </row>
    <row r="314" spans="1:7" x14ac:dyDescent="0.25">
      <c r="A314" s="27"/>
      <c r="C314" s="56"/>
      <c r="D314" s="31"/>
      <c r="F314" s="31"/>
      <c r="G314" s="56"/>
    </row>
    <row r="315" spans="1:7" x14ac:dyDescent="0.25">
      <c r="A315" s="27"/>
      <c r="C315" s="56"/>
      <c r="D315" s="31"/>
      <c r="F315" s="31"/>
      <c r="G315" s="56"/>
    </row>
    <row r="316" spans="1:7" x14ac:dyDescent="0.25">
      <c r="A316" s="27"/>
      <c r="C316" s="56"/>
      <c r="D316" s="31"/>
      <c r="F316" s="31"/>
      <c r="G316" s="56"/>
    </row>
    <row r="317" spans="1:7" x14ac:dyDescent="0.25">
      <c r="A317" s="27"/>
      <c r="C317" s="56"/>
      <c r="D317" s="31"/>
      <c r="F317" s="31"/>
      <c r="G317" s="56"/>
    </row>
    <row r="318" spans="1:7" x14ac:dyDescent="0.25">
      <c r="A318" s="27"/>
      <c r="C318" s="56"/>
      <c r="D318" s="31"/>
      <c r="F318" s="31"/>
      <c r="G318" s="56"/>
    </row>
    <row r="319" spans="1:7" x14ac:dyDescent="0.25">
      <c r="A319" s="27"/>
      <c r="C319" s="56"/>
      <c r="D319" s="31"/>
      <c r="F319" s="31"/>
      <c r="G319" s="56"/>
    </row>
    <row r="320" spans="1:7" x14ac:dyDescent="0.25">
      <c r="A320" s="27"/>
      <c r="C320" s="56"/>
      <c r="D320" s="31"/>
      <c r="F320" s="31"/>
      <c r="G320" s="56"/>
    </row>
    <row r="321" spans="1:7" x14ac:dyDescent="0.25">
      <c r="A321" s="27"/>
      <c r="C321" s="56"/>
      <c r="D321" s="31"/>
      <c r="F321" s="31"/>
      <c r="G321" s="56"/>
    </row>
    <row r="322" spans="1:7" x14ac:dyDescent="0.25">
      <c r="A322" s="27"/>
      <c r="C322" s="56"/>
      <c r="D322" s="31"/>
      <c r="F322" s="31"/>
      <c r="G322" s="56"/>
    </row>
    <row r="323" spans="1:7" x14ac:dyDescent="0.25">
      <c r="A323" s="27"/>
      <c r="C323" s="56"/>
      <c r="D323" s="31"/>
      <c r="F323" s="31"/>
      <c r="G323" s="56"/>
    </row>
    <row r="324" spans="1:7" x14ac:dyDescent="0.25">
      <c r="A324" s="27"/>
      <c r="C324" s="56"/>
      <c r="D324" s="31"/>
      <c r="F324" s="31"/>
      <c r="G324" s="56"/>
    </row>
    <row r="325" spans="1:7" x14ac:dyDescent="0.25">
      <c r="A325" s="27"/>
      <c r="C325" s="56"/>
      <c r="D325" s="31"/>
      <c r="F325" s="31"/>
      <c r="G325" s="56"/>
    </row>
    <row r="326" spans="1:7" x14ac:dyDescent="0.25">
      <c r="A326" s="27"/>
      <c r="C326" s="56"/>
      <c r="D326" s="31"/>
      <c r="F326" s="31"/>
      <c r="G326" s="56"/>
    </row>
    <row r="327" spans="1:7" x14ac:dyDescent="0.25">
      <c r="A327" s="27"/>
      <c r="C327" s="56"/>
      <c r="D327" s="31"/>
      <c r="F327" s="31"/>
      <c r="G327" s="56"/>
    </row>
    <row r="328" spans="1:7" x14ac:dyDescent="0.25">
      <c r="A328" s="27"/>
      <c r="C328" s="56"/>
      <c r="D328" s="31"/>
      <c r="F328" s="31"/>
      <c r="G328" s="56"/>
    </row>
    <row r="329" spans="1:7" x14ac:dyDescent="0.25">
      <c r="A329" s="27"/>
      <c r="C329" s="56"/>
      <c r="D329" s="31"/>
      <c r="F329" s="31"/>
      <c r="G329" s="56"/>
    </row>
    <row r="330" spans="1:7" x14ac:dyDescent="0.25">
      <c r="A330" s="27"/>
      <c r="C330" s="56"/>
      <c r="D330" s="31"/>
      <c r="F330" s="31"/>
      <c r="G330" s="56"/>
    </row>
    <row r="331" spans="1:7" x14ac:dyDescent="0.25">
      <c r="A331" s="27"/>
      <c r="C331" s="56"/>
      <c r="D331" s="31"/>
      <c r="F331" s="31"/>
      <c r="G331" s="56"/>
    </row>
    <row r="332" spans="1:7" x14ac:dyDescent="0.25">
      <c r="A332" s="27"/>
      <c r="C332" s="56"/>
      <c r="D332" s="31"/>
      <c r="F332" s="31"/>
      <c r="G332" s="56"/>
    </row>
    <row r="333" spans="1:7" x14ac:dyDescent="0.25">
      <c r="A333" s="27"/>
      <c r="C333" s="56"/>
      <c r="D333" s="31"/>
      <c r="F333" s="31"/>
      <c r="G333" s="56"/>
    </row>
    <row r="334" spans="1:7" x14ac:dyDescent="0.25">
      <c r="A334" s="27"/>
      <c r="C334" s="56"/>
      <c r="D334" s="31"/>
      <c r="F334" s="31"/>
      <c r="G334" s="56"/>
    </row>
    <row r="335" spans="1:7" x14ac:dyDescent="0.25">
      <c r="A335" s="27"/>
      <c r="C335" s="56"/>
      <c r="D335" s="31"/>
      <c r="F335" s="31"/>
      <c r="G335" s="56"/>
    </row>
    <row r="336" spans="1:7" x14ac:dyDescent="0.25">
      <c r="A336" s="27"/>
      <c r="C336" s="56"/>
      <c r="D336" s="31"/>
      <c r="F336" s="31"/>
      <c r="G336" s="56"/>
    </row>
    <row r="337" spans="1:7" x14ac:dyDescent="0.25">
      <c r="A337" s="27"/>
      <c r="C337" s="56"/>
      <c r="D337" s="31"/>
      <c r="F337" s="31"/>
      <c r="G337" s="56"/>
    </row>
    <row r="338" spans="1:7" x14ac:dyDescent="0.25">
      <c r="A338" s="27"/>
      <c r="C338" s="56"/>
      <c r="D338" s="31"/>
      <c r="F338" s="31"/>
      <c r="G338" s="56"/>
    </row>
    <row r="339" spans="1:7" x14ac:dyDescent="0.25">
      <c r="A339" s="27"/>
      <c r="C339" s="56"/>
      <c r="D339" s="31"/>
      <c r="F339" s="31"/>
      <c r="G339" s="56"/>
    </row>
    <row r="340" spans="1:7" x14ac:dyDescent="0.25">
      <c r="A340" s="27"/>
      <c r="C340" s="56"/>
      <c r="D340" s="31"/>
      <c r="F340" s="31"/>
      <c r="G340" s="56"/>
    </row>
    <row r="341" spans="1:7" x14ac:dyDescent="0.25">
      <c r="A341" s="27"/>
      <c r="C341" s="56"/>
      <c r="D341" s="31"/>
      <c r="F341" s="31"/>
      <c r="G341" s="56"/>
    </row>
    <row r="342" spans="1:7" x14ac:dyDescent="0.25">
      <c r="A342" s="27"/>
      <c r="C342" s="56"/>
      <c r="D342" s="31"/>
      <c r="F342" s="31"/>
      <c r="G342" s="56"/>
    </row>
    <row r="343" spans="1:7" x14ac:dyDescent="0.25">
      <c r="A343" s="27"/>
      <c r="C343" s="56"/>
      <c r="D343" s="31"/>
      <c r="F343" s="31"/>
      <c r="G343" s="56"/>
    </row>
    <row r="344" spans="1:7" x14ac:dyDescent="0.25">
      <c r="A344" s="27"/>
      <c r="C344" s="56"/>
      <c r="D344" s="31"/>
      <c r="F344" s="31"/>
      <c r="G344" s="56"/>
    </row>
    <row r="345" spans="1:7" x14ac:dyDescent="0.25">
      <c r="A345" s="27"/>
      <c r="C345" s="56"/>
      <c r="D345" s="31"/>
      <c r="F345" s="31"/>
      <c r="G345" s="56"/>
    </row>
    <row r="346" spans="1:7" x14ac:dyDescent="0.25">
      <c r="A346" s="27"/>
      <c r="C346" s="56"/>
      <c r="D346" s="31"/>
      <c r="F346" s="31"/>
      <c r="G346" s="56"/>
    </row>
    <row r="347" spans="1:7" x14ac:dyDescent="0.25">
      <c r="A347" s="27"/>
      <c r="C347" s="56"/>
      <c r="D347" s="31"/>
      <c r="F347" s="31"/>
      <c r="G347" s="56"/>
    </row>
    <row r="348" spans="1:7" x14ac:dyDescent="0.25">
      <c r="A348" s="27"/>
      <c r="C348" s="56"/>
      <c r="D348" s="31"/>
      <c r="F348" s="31"/>
      <c r="G348" s="56"/>
    </row>
    <row r="349" spans="1:7" x14ac:dyDescent="0.25">
      <c r="A349" s="27"/>
      <c r="C349" s="56"/>
      <c r="D349" s="31"/>
      <c r="F349" s="31"/>
      <c r="G349" s="56"/>
    </row>
    <row r="350" spans="1:7" x14ac:dyDescent="0.25">
      <c r="A350" s="27"/>
      <c r="C350" s="56"/>
      <c r="D350" s="31"/>
      <c r="F350" s="31"/>
      <c r="G350" s="56"/>
    </row>
    <row r="351" spans="1:7" x14ac:dyDescent="0.25">
      <c r="A351" s="27"/>
      <c r="C351" s="56"/>
      <c r="D351" s="31"/>
      <c r="F351" s="31"/>
      <c r="G351" s="56"/>
    </row>
    <row r="352" spans="1:7" x14ac:dyDescent="0.25">
      <c r="A352" s="27"/>
      <c r="C352" s="56"/>
      <c r="D352" s="31"/>
      <c r="F352" s="31"/>
      <c r="G352" s="56"/>
    </row>
    <row r="353" spans="1:7" x14ac:dyDescent="0.25">
      <c r="A353" s="27"/>
      <c r="C353" s="56"/>
      <c r="D353" s="31"/>
      <c r="F353" s="31"/>
      <c r="G353" s="56"/>
    </row>
    <row r="354" spans="1:7" x14ac:dyDescent="0.25">
      <c r="A354" s="27"/>
      <c r="C354" s="56"/>
      <c r="D354" s="31"/>
      <c r="F354" s="31"/>
      <c r="G354" s="56"/>
    </row>
    <row r="355" spans="1:7" x14ac:dyDescent="0.25">
      <c r="A355" s="27"/>
      <c r="C355" s="56"/>
      <c r="D355" s="31"/>
      <c r="F355" s="31"/>
      <c r="G355" s="56"/>
    </row>
    <row r="356" spans="1:7" x14ac:dyDescent="0.25">
      <c r="A356" s="27"/>
      <c r="C356" s="56"/>
      <c r="D356" s="31"/>
      <c r="F356" s="31"/>
      <c r="G356" s="56"/>
    </row>
    <row r="357" spans="1:7" x14ac:dyDescent="0.25">
      <c r="A357" s="27"/>
      <c r="C357" s="56"/>
      <c r="D357" s="31"/>
      <c r="F357" s="31"/>
      <c r="G357" s="56"/>
    </row>
    <row r="358" spans="1:7" x14ac:dyDescent="0.25">
      <c r="A358" s="27"/>
      <c r="C358" s="56"/>
      <c r="D358" s="31"/>
      <c r="F358" s="31"/>
      <c r="G358" s="56"/>
    </row>
    <row r="359" spans="1:7" x14ac:dyDescent="0.25">
      <c r="A359" s="27"/>
      <c r="C359" s="56"/>
      <c r="D359" s="31"/>
      <c r="F359" s="31"/>
      <c r="G359" s="56"/>
    </row>
    <row r="360" spans="1:7" x14ac:dyDescent="0.25">
      <c r="A360" s="27"/>
      <c r="C360" s="56"/>
      <c r="D360" s="31"/>
      <c r="F360" s="31"/>
      <c r="G360" s="56"/>
    </row>
    <row r="361" spans="1:7" x14ac:dyDescent="0.25">
      <c r="A361" s="27"/>
      <c r="C361" s="56"/>
      <c r="D361" s="31"/>
      <c r="F361" s="31"/>
      <c r="G361" s="56"/>
    </row>
    <row r="362" spans="1:7" x14ac:dyDescent="0.25">
      <c r="A362" s="27"/>
      <c r="C362" s="56"/>
      <c r="D362" s="30"/>
      <c r="F362" s="30"/>
      <c r="G362" s="56"/>
    </row>
    <row r="363" spans="1:7" x14ac:dyDescent="0.25">
      <c r="A363" s="27"/>
      <c r="C363" s="56"/>
      <c r="D363" s="31"/>
      <c r="F363" s="31"/>
      <c r="G363" s="56"/>
    </row>
    <row r="364" spans="1:7" x14ac:dyDescent="0.25">
      <c r="A364" s="27"/>
      <c r="C364" s="56"/>
      <c r="D364" s="31"/>
      <c r="F364" s="31"/>
      <c r="G364" s="56"/>
    </row>
    <row r="365" spans="1:7" x14ac:dyDescent="0.25">
      <c r="A365" s="27"/>
      <c r="C365" s="56"/>
      <c r="D365" s="31"/>
      <c r="F365" s="31"/>
      <c r="G365" s="56"/>
    </row>
    <row r="366" spans="1:7" x14ac:dyDescent="0.25">
      <c r="A366" s="27"/>
      <c r="C366" s="56"/>
      <c r="D366" s="31"/>
      <c r="F366" s="31"/>
      <c r="G366" s="56"/>
    </row>
    <row r="367" spans="1:7" x14ac:dyDescent="0.25">
      <c r="A367" s="27"/>
      <c r="C367" s="56"/>
      <c r="D367" s="31"/>
      <c r="F367" s="31"/>
      <c r="G367" s="56"/>
    </row>
    <row r="368" spans="1:7" x14ac:dyDescent="0.25">
      <c r="A368" s="27"/>
      <c r="C368" s="56"/>
      <c r="D368" s="31"/>
      <c r="F368" s="31"/>
      <c r="G368" s="56"/>
    </row>
    <row r="369" spans="1:7" x14ac:dyDescent="0.25">
      <c r="A369" s="27"/>
      <c r="C369" s="56"/>
      <c r="D369" s="31"/>
      <c r="F369" s="31"/>
      <c r="G369" s="56"/>
    </row>
    <row r="370" spans="1:7" x14ac:dyDescent="0.25">
      <c r="A370" s="27"/>
      <c r="C370" s="56"/>
      <c r="D370" s="31"/>
      <c r="F370" s="31"/>
      <c r="G370" s="56"/>
    </row>
    <row r="371" spans="1:7" x14ac:dyDescent="0.25">
      <c r="A371" s="27"/>
      <c r="C371" s="56"/>
      <c r="D371" s="31"/>
      <c r="F371" s="31"/>
      <c r="G371" s="56"/>
    </row>
    <row r="372" spans="1:7" x14ac:dyDescent="0.25">
      <c r="A372" s="27"/>
      <c r="C372" s="56"/>
      <c r="D372" s="31"/>
      <c r="F372" s="31"/>
      <c r="G372" s="56"/>
    </row>
    <row r="373" spans="1:7" x14ac:dyDescent="0.25">
      <c r="A373" s="27"/>
      <c r="C373" s="56"/>
      <c r="D373" s="31"/>
      <c r="F373" s="31"/>
      <c r="G373" s="56"/>
    </row>
    <row r="374" spans="1:7" x14ac:dyDescent="0.25">
      <c r="A374" s="27"/>
      <c r="C374" s="56"/>
      <c r="D374" s="31"/>
      <c r="F374" s="31"/>
      <c r="G374" s="56"/>
    </row>
    <row r="375" spans="1:7" x14ac:dyDescent="0.25">
      <c r="A375" s="27"/>
      <c r="C375" s="56"/>
      <c r="D375" s="31"/>
      <c r="F375" s="31"/>
      <c r="G375" s="56"/>
    </row>
    <row r="376" spans="1:7" x14ac:dyDescent="0.25">
      <c r="A376" s="27"/>
      <c r="C376" s="56"/>
      <c r="D376" s="31"/>
      <c r="F376" s="31"/>
      <c r="G376" s="56"/>
    </row>
    <row r="377" spans="1:7" x14ac:dyDescent="0.25">
      <c r="A377" s="27"/>
      <c r="C377" s="56"/>
      <c r="D377" s="31"/>
      <c r="F377" s="31"/>
      <c r="G377" s="56"/>
    </row>
    <row r="378" spans="1:7" x14ac:dyDescent="0.25">
      <c r="A378" s="27"/>
      <c r="C378" s="56"/>
      <c r="D378" s="31"/>
      <c r="F378" s="31"/>
      <c r="G378" s="56"/>
    </row>
    <row r="379" spans="1:7" x14ac:dyDescent="0.25">
      <c r="A379" s="27"/>
      <c r="C379" s="56"/>
      <c r="D379" s="31"/>
      <c r="F379" s="31"/>
      <c r="G379" s="56"/>
    </row>
    <row r="380" spans="1:7" x14ac:dyDescent="0.25">
      <c r="A380" s="27"/>
      <c r="C380" s="56"/>
      <c r="D380" s="31"/>
      <c r="F380" s="31"/>
      <c r="G380" s="56"/>
    </row>
    <row r="381" spans="1:7" x14ac:dyDescent="0.25">
      <c r="A381" s="27"/>
      <c r="C381" s="56"/>
      <c r="D381" s="31"/>
      <c r="F381" s="31"/>
      <c r="G381" s="56"/>
    </row>
    <row r="382" spans="1:7" x14ac:dyDescent="0.25">
      <c r="A382" s="27"/>
      <c r="C382" s="56"/>
      <c r="D382" s="31"/>
      <c r="F382" s="31"/>
      <c r="G382" s="56"/>
    </row>
    <row r="383" spans="1:7" x14ac:dyDescent="0.25">
      <c r="A383" s="27"/>
      <c r="C383" s="56"/>
      <c r="D383" s="31"/>
      <c r="F383" s="31"/>
      <c r="G383" s="56"/>
    </row>
    <row r="384" spans="1:7" x14ac:dyDescent="0.25">
      <c r="A384" s="27"/>
      <c r="C384" s="56"/>
      <c r="D384" s="31"/>
      <c r="F384" s="31"/>
      <c r="G384" s="56"/>
    </row>
    <row r="385" spans="1:7" x14ac:dyDescent="0.25">
      <c r="A385" s="27"/>
      <c r="C385" s="56"/>
      <c r="D385" s="31"/>
      <c r="F385" s="31"/>
      <c r="G385" s="56"/>
    </row>
    <row r="386" spans="1:7" x14ac:dyDescent="0.25">
      <c r="A386" s="27"/>
      <c r="C386" s="56"/>
      <c r="D386" s="31"/>
      <c r="F386" s="31"/>
      <c r="G386" s="56"/>
    </row>
    <row r="387" spans="1:7" x14ac:dyDescent="0.25">
      <c r="A387" s="27"/>
      <c r="C387" s="56"/>
      <c r="D387" s="31"/>
      <c r="F387" s="31"/>
      <c r="G387" s="56"/>
    </row>
    <row r="388" spans="1:7" x14ac:dyDescent="0.25">
      <c r="A388" s="27"/>
      <c r="C388" s="56"/>
      <c r="D388" s="31"/>
      <c r="F388" s="31"/>
      <c r="G388" s="56"/>
    </row>
    <row r="389" spans="1:7" x14ac:dyDescent="0.25">
      <c r="A389" s="27"/>
      <c r="C389" s="56"/>
      <c r="D389" s="31"/>
      <c r="F389" s="31"/>
      <c r="G389" s="56"/>
    </row>
    <row r="390" spans="1:7" x14ac:dyDescent="0.25">
      <c r="A390" s="27"/>
      <c r="C390" s="56"/>
      <c r="D390" s="31"/>
      <c r="F390" s="31"/>
      <c r="G390" s="56"/>
    </row>
    <row r="391" spans="1:7" x14ac:dyDescent="0.25">
      <c r="A391" s="27"/>
      <c r="C391" s="56"/>
      <c r="D391" s="31"/>
      <c r="F391" s="31"/>
      <c r="G391" s="56"/>
    </row>
    <row r="392" spans="1:7" x14ac:dyDescent="0.25">
      <c r="A392" s="27"/>
      <c r="C392" s="56"/>
      <c r="D392" s="31"/>
      <c r="F392" s="31"/>
      <c r="G392" s="56"/>
    </row>
    <row r="393" spans="1:7" x14ac:dyDescent="0.25">
      <c r="A393" s="27"/>
      <c r="C393" s="56"/>
      <c r="D393" s="31"/>
      <c r="F393" s="31"/>
      <c r="G393" s="56"/>
    </row>
    <row r="394" spans="1:7" x14ac:dyDescent="0.25">
      <c r="A394" s="27"/>
      <c r="C394" s="56"/>
      <c r="D394" s="31"/>
      <c r="F394" s="31"/>
      <c r="G394" s="56"/>
    </row>
    <row r="395" spans="1:7" x14ac:dyDescent="0.25">
      <c r="A395" s="27"/>
      <c r="C395" s="56"/>
      <c r="D395" s="31"/>
      <c r="F395" s="31"/>
      <c r="G395" s="56"/>
    </row>
    <row r="396" spans="1:7" x14ac:dyDescent="0.25">
      <c r="A396" s="27"/>
      <c r="C396" s="56"/>
      <c r="D396" s="31"/>
      <c r="F396" s="31"/>
      <c r="G396" s="56"/>
    </row>
    <row r="397" spans="1:7" x14ac:dyDescent="0.25">
      <c r="A397" s="27"/>
      <c r="C397" s="56"/>
      <c r="D397" s="31"/>
      <c r="F397" s="31"/>
      <c r="G397" s="56"/>
    </row>
    <row r="398" spans="1:7" x14ac:dyDescent="0.25">
      <c r="A398" s="27"/>
      <c r="C398" s="56"/>
      <c r="D398" s="31"/>
      <c r="F398" s="31"/>
      <c r="G398" s="56"/>
    </row>
    <row r="399" spans="1:7" x14ac:dyDescent="0.25">
      <c r="A399" s="27"/>
      <c r="C399" s="56"/>
      <c r="D399" s="31"/>
      <c r="F399" s="31"/>
      <c r="G399" s="56"/>
    </row>
    <row r="400" spans="1:7" x14ac:dyDescent="0.25">
      <c r="A400" s="27"/>
      <c r="C400" s="56"/>
      <c r="D400" s="31"/>
      <c r="F400" s="31"/>
      <c r="G400" s="56"/>
    </row>
    <row r="401" spans="1:7" x14ac:dyDescent="0.25">
      <c r="A401" s="27"/>
      <c r="C401" s="56"/>
      <c r="D401" s="31"/>
      <c r="F401" s="31"/>
      <c r="G401" s="56"/>
    </row>
    <row r="402" spans="1:7" x14ac:dyDescent="0.25">
      <c r="A402" s="27"/>
      <c r="C402" s="56"/>
      <c r="D402" s="31"/>
      <c r="F402" s="31"/>
      <c r="G402" s="56"/>
    </row>
    <row r="403" spans="1:7" x14ac:dyDescent="0.25">
      <c r="A403" s="27"/>
      <c r="C403" s="56"/>
      <c r="D403" s="31"/>
      <c r="F403" s="31"/>
      <c r="G403" s="56"/>
    </row>
    <row r="404" spans="1:7" x14ac:dyDescent="0.25">
      <c r="A404" s="27"/>
      <c r="C404" s="56"/>
      <c r="D404" s="31"/>
      <c r="F404" s="31"/>
      <c r="G404" s="56"/>
    </row>
    <row r="405" spans="1:7" x14ac:dyDescent="0.25">
      <c r="A405" s="27"/>
      <c r="C405" s="56"/>
      <c r="D405" s="31"/>
      <c r="F405" s="31"/>
      <c r="G405" s="56"/>
    </row>
    <row r="406" spans="1:7" x14ac:dyDescent="0.25">
      <c r="A406" s="27"/>
      <c r="C406" s="56"/>
      <c r="D406" s="31"/>
      <c r="F406" s="31"/>
      <c r="G406" s="56"/>
    </row>
    <row r="407" spans="1:7" x14ac:dyDescent="0.25">
      <c r="A407" s="27"/>
      <c r="C407" s="56"/>
      <c r="D407" s="31"/>
      <c r="F407" s="31"/>
      <c r="G407" s="56"/>
    </row>
    <row r="408" spans="1:7" x14ac:dyDescent="0.25">
      <c r="A408" s="28"/>
      <c r="C408" s="56"/>
      <c r="D408" s="31"/>
      <c r="F408" s="31"/>
      <c r="G408" s="56"/>
    </row>
    <row r="409" spans="1:7" x14ac:dyDescent="0.25">
      <c r="A409" s="27"/>
      <c r="C409" s="56"/>
      <c r="D409" s="31"/>
      <c r="F409" s="31"/>
      <c r="G409" s="56"/>
    </row>
    <row r="410" spans="1:7" x14ac:dyDescent="0.25">
      <c r="A410" s="27"/>
      <c r="C410" s="56"/>
      <c r="D410" s="31"/>
      <c r="F410" s="31"/>
      <c r="G410" s="56"/>
    </row>
    <row r="411" spans="1:7" x14ac:dyDescent="0.25">
      <c r="A411" s="27"/>
      <c r="C411" s="56"/>
      <c r="D411" s="31"/>
      <c r="F411" s="31"/>
      <c r="G411" s="56"/>
    </row>
    <row r="412" spans="1:7" x14ac:dyDescent="0.25">
      <c r="A412" s="27"/>
      <c r="C412" s="56"/>
      <c r="D412" s="31"/>
      <c r="F412" s="31"/>
      <c r="G412" s="56"/>
    </row>
    <row r="413" spans="1:7" x14ac:dyDescent="0.25">
      <c r="A413" s="27"/>
      <c r="C413" s="56"/>
      <c r="D413" s="31"/>
      <c r="F413" s="31"/>
      <c r="G413" s="56"/>
    </row>
    <row r="414" spans="1:7" x14ac:dyDescent="0.25">
      <c r="A414" s="28"/>
      <c r="C414" s="56"/>
      <c r="D414" s="31"/>
      <c r="F414" s="31"/>
      <c r="G414" s="56"/>
    </row>
    <row r="415" spans="1:7" x14ac:dyDescent="0.25">
      <c r="A415" s="27"/>
      <c r="C415" s="56"/>
      <c r="D415" s="31"/>
      <c r="F415" s="31"/>
      <c r="G415" s="56"/>
    </row>
    <row r="416" spans="1:7" x14ac:dyDescent="0.25">
      <c r="A416" s="27"/>
      <c r="C416" s="56"/>
      <c r="D416" s="31"/>
      <c r="F416" s="31"/>
      <c r="G416" s="56"/>
    </row>
    <row r="417" spans="1:7" x14ac:dyDescent="0.25">
      <c r="A417" s="27"/>
      <c r="C417" s="56"/>
      <c r="D417" s="31"/>
      <c r="F417" s="31"/>
      <c r="G417" s="56"/>
    </row>
    <row r="418" spans="1:7" x14ac:dyDescent="0.25">
      <c r="A418" s="27"/>
      <c r="C418" s="56"/>
      <c r="D418" s="31"/>
      <c r="F418" s="31"/>
      <c r="G418" s="56"/>
    </row>
    <row r="419" spans="1:7" x14ac:dyDescent="0.25">
      <c r="A419" s="27"/>
      <c r="C419" s="56"/>
      <c r="D419" s="31"/>
      <c r="F419" s="31"/>
      <c r="G419" s="56"/>
    </row>
    <row r="420" spans="1:7" x14ac:dyDescent="0.25">
      <c r="A420" s="27"/>
      <c r="C420" s="56"/>
      <c r="D420" s="31"/>
      <c r="F420" s="31"/>
      <c r="G420" s="56"/>
    </row>
    <row r="421" spans="1:7" x14ac:dyDescent="0.25">
      <c r="A421" s="27"/>
      <c r="C421" s="56"/>
      <c r="D421" s="31"/>
      <c r="F421" s="31"/>
      <c r="G421" s="56"/>
    </row>
    <row r="422" spans="1:7" x14ac:dyDescent="0.25">
      <c r="A422" s="27"/>
      <c r="C422" s="56"/>
      <c r="D422" s="31"/>
      <c r="F422" s="31"/>
      <c r="G422" s="56"/>
    </row>
    <row r="423" spans="1:7" x14ac:dyDescent="0.25">
      <c r="A423" s="27"/>
      <c r="C423" s="56"/>
      <c r="D423" s="31"/>
      <c r="F423" s="31"/>
      <c r="G423" s="56"/>
    </row>
    <row r="424" spans="1:7" x14ac:dyDescent="0.25">
      <c r="A424" s="27"/>
      <c r="C424" s="56"/>
      <c r="D424" s="31"/>
      <c r="F424" s="31"/>
      <c r="G424" s="56"/>
    </row>
    <row r="425" spans="1:7" x14ac:dyDescent="0.25">
      <c r="A425" s="27"/>
      <c r="C425" s="56"/>
      <c r="D425" s="30"/>
      <c r="F425" s="30"/>
      <c r="G425" s="56"/>
    </row>
    <row r="426" spans="1:7" x14ac:dyDescent="0.25">
      <c r="A426" s="27"/>
      <c r="C426" s="56"/>
      <c r="D426" s="30"/>
      <c r="F426" s="30"/>
      <c r="G426" s="56"/>
    </row>
    <row r="427" spans="1:7" x14ac:dyDescent="0.25">
      <c r="A427" s="27"/>
      <c r="C427" s="56"/>
      <c r="D427" s="30"/>
      <c r="F427" s="30"/>
      <c r="G427" s="56"/>
    </row>
    <row r="428" spans="1:7" x14ac:dyDescent="0.25">
      <c r="A428" s="27"/>
      <c r="C428" s="56"/>
      <c r="D428" s="30"/>
      <c r="F428" s="30"/>
      <c r="G428" s="56"/>
    </row>
    <row r="429" spans="1:7" x14ac:dyDescent="0.25">
      <c r="A429" s="27"/>
      <c r="C429" s="56"/>
      <c r="D429" s="30"/>
      <c r="F429" s="30"/>
      <c r="G429" s="56"/>
    </row>
    <row r="430" spans="1:7" x14ac:dyDescent="0.25">
      <c r="A430" s="27"/>
      <c r="C430" s="56"/>
      <c r="D430" s="30"/>
      <c r="F430" s="30"/>
      <c r="G430" s="56"/>
    </row>
    <row r="431" spans="1:7" x14ac:dyDescent="0.25">
      <c r="A431" s="27"/>
      <c r="C431" s="56"/>
      <c r="D431" s="30"/>
      <c r="F431" s="30"/>
      <c r="G431" s="56"/>
    </row>
    <row r="432" spans="1:7" x14ac:dyDescent="0.25">
      <c r="A432" s="27"/>
      <c r="C432" s="56"/>
      <c r="D432" s="30"/>
      <c r="F432" s="30"/>
      <c r="G432" s="56"/>
    </row>
    <row r="433" spans="1:7" x14ac:dyDescent="0.25">
      <c r="A433" s="27"/>
      <c r="C433" s="56"/>
      <c r="D433" s="30"/>
      <c r="F433" s="30"/>
      <c r="G433" s="56"/>
    </row>
    <row r="434" spans="1:7" x14ac:dyDescent="0.25">
      <c r="A434" s="27"/>
      <c r="C434" s="56"/>
      <c r="D434" s="30"/>
      <c r="F434" s="30"/>
      <c r="G434" s="56"/>
    </row>
    <row r="435" spans="1:7" x14ac:dyDescent="0.25">
      <c r="A435" s="27"/>
      <c r="C435" s="56"/>
      <c r="D435" s="30"/>
      <c r="F435" s="30"/>
      <c r="G435" s="56"/>
    </row>
    <row r="436" spans="1:7" x14ac:dyDescent="0.25">
      <c r="A436" s="27"/>
      <c r="C436" s="56"/>
      <c r="D436" s="30"/>
      <c r="F436" s="30"/>
      <c r="G436" s="56"/>
    </row>
    <row r="437" spans="1:7" x14ac:dyDescent="0.25">
      <c r="A437" s="27"/>
      <c r="C437" s="56"/>
      <c r="D437" s="30"/>
      <c r="F437" s="30"/>
      <c r="G437" s="56"/>
    </row>
    <row r="438" spans="1:7" x14ac:dyDescent="0.25">
      <c r="A438" s="27"/>
      <c r="C438" s="56"/>
      <c r="D438" s="30"/>
      <c r="F438" s="30"/>
      <c r="G438" s="56"/>
    </row>
    <row r="439" spans="1:7" x14ac:dyDescent="0.25">
      <c r="A439" s="27"/>
      <c r="C439" s="56"/>
      <c r="D439" s="30"/>
      <c r="F439" s="30"/>
      <c r="G439" s="56"/>
    </row>
    <row r="440" spans="1:7" x14ac:dyDescent="0.25">
      <c r="A440" s="27"/>
      <c r="C440" s="56"/>
      <c r="D440" s="30"/>
      <c r="F440" s="30"/>
      <c r="G440" s="56"/>
    </row>
    <row r="441" spans="1:7" x14ac:dyDescent="0.25">
      <c r="A441" s="27"/>
      <c r="C441" s="56"/>
      <c r="D441" s="30"/>
      <c r="F441" s="30"/>
      <c r="G441" s="56"/>
    </row>
    <row r="442" spans="1:7" x14ac:dyDescent="0.25">
      <c r="A442" s="27"/>
      <c r="C442" s="56"/>
      <c r="D442" s="31"/>
      <c r="F442" s="31"/>
      <c r="G442" s="56"/>
    </row>
    <row r="443" spans="1:7" x14ac:dyDescent="0.25">
      <c r="A443" s="27"/>
      <c r="C443" s="56"/>
      <c r="D443" s="31"/>
      <c r="F443" s="31"/>
      <c r="G443" s="56"/>
    </row>
    <row r="444" spans="1:7" x14ac:dyDescent="0.25">
      <c r="A444" s="27"/>
      <c r="C444" s="56"/>
      <c r="D444" s="31"/>
      <c r="F444" s="31"/>
      <c r="G444" s="56"/>
    </row>
    <row r="445" spans="1:7" x14ac:dyDescent="0.25">
      <c r="A445" s="27"/>
      <c r="C445" s="56"/>
      <c r="D445" s="31"/>
      <c r="F445" s="31"/>
      <c r="G445" s="56"/>
    </row>
    <row r="446" spans="1:7" x14ac:dyDescent="0.25">
      <c r="A446" s="27"/>
      <c r="C446" s="56"/>
      <c r="D446" s="31"/>
      <c r="F446" s="31"/>
      <c r="G446" s="56"/>
    </row>
    <row r="447" spans="1:7" x14ac:dyDescent="0.25">
      <c r="A447" s="27"/>
      <c r="C447" s="56"/>
      <c r="D447" s="31"/>
      <c r="F447" s="31"/>
      <c r="G447" s="56"/>
    </row>
    <row r="448" spans="1:7" x14ac:dyDescent="0.25">
      <c r="A448" s="27"/>
      <c r="C448" s="56"/>
      <c r="D448" s="31"/>
      <c r="F448" s="31"/>
      <c r="G448" s="56"/>
    </row>
    <row r="449" spans="1:7" x14ac:dyDescent="0.25">
      <c r="A449" s="27"/>
      <c r="C449" s="56"/>
      <c r="D449" s="31"/>
      <c r="F449" s="31"/>
      <c r="G449" s="56"/>
    </row>
    <row r="450" spans="1:7" x14ac:dyDescent="0.25">
      <c r="A450" s="27"/>
      <c r="C450" s="56"/>
      <c r="D450" s="31"/>
      <c r="F450" s="31"/>
      <c r="G450" s="56"/>
    </row>
    <row r="451" spans="1:7" x14ac:dyDescent="0.25">
      <c r="A451" s="27"/>
      <c r="C451" s="56"/>
      <c r="D451" s="31"/>
      <c r="F451" s="31"/>
      <c r="G451" s="56"/>
    </row>
    <row r="452" spans="1:7" x14ac:dyDescent="0.25">
      <c r="A452" s="27"/>
      <c r="C452" s="56"/>
      <c r="D452" s="31"/>
      <c r="F452" s="31"/>
      <c r="G452" s="56"/>
    </row>
    <row r="453" spans="1:7" x14ac:dyDescent="0.25">
      <c r="A453" s="27"/>
      <c r="C453" s="56"/>
      <c r="D453" s="31"/>
      <c r="F453" s="31"/>
      <c r="G453" s="56"/>
    </row>
    <row r="454" spans="1:7" x14ac:dyDescent="0.25">
      <c r="A454" s="27"/>
      <c r="C454" s="56"/>
      <c r="D454" s="31"/>
      <c r="F454" s="31"/>
      <c r="G454" s="56"/>
    </row>
    <row r="455" spans="1:7" x14ac:dyDescent="0.25">
      <c r="A455" s="27"/>
      <c r="C455" s="56"/>
      <c r="D455" s="31"/>
      <c r="F455" s="31"/>
      <c r="G455" s="56"/>
    </row>
    <row r="456" spans="1:7" x14ac:dyDescent="0.25">
      <c r="A456" s="27"/>
      <c r="C456" s="56"/>
      <c r="D456" s="31"/>
      <c r="F456" s="31"/>
      <c r="G456" s="56"/>
    </row>
    <row r="457" spans="1:7" x14ac:dyDescent="0.25">
      <c r="A457" s="27"/>
      <c r="C457" s="56"/>
      <c r="D457" s="31"/>
      <c r="F457" s="31"/>
      <c r="G457" s="56"/>
    </row>
    <row r="458" spans="1:7" x14ac:dyDescent="0.25">
      <c r="A458" s="27"/>
      <c r="C458" s="56"/>
      <c r="D458" s="31"/>
      <c r="F458" s="31"/>
      <c r="G458" s="56"/>
    </row>
    <row r="459" spans="1:7" x14ac:dyDescent="0.25">
      <c r="A459" s="27"/>
      <c r="C459" s="56"/>
      <c r="D459" s="31"/>
      <c r="F459" s="31"/>
      <c r="G459" s="56"/>
    </row>
    <row r="460" spans="1:7" x14ac:dyDescent="0.25">
      <c r="A460" s="27"/>
      <c r="C460" s="56"/>
      <c r="D460" s="31"/>
      <c r="F460" s="31"/>
      <c r="G460" s="56"/>
    </row>
    <row r="461" spans="1:7" x14ac:dyDescent="0.25">
      <c r="A461" s="27"/>
      <c r="C461" s="56"/>
      <c r="D461" s="31"/>
      <c r="F461" s="31"/>
      <c r="G461" s="56"/>
    </row>
    <row r="462" spans="1:7" x14ac:dyDescent="0.25">
      <c r="A462" s="27"/>
      <c r="C462" s="56"/>
      <c r="D462" s="31"/>
      <c r="F462" s="31"/>
      <c r="G462" s="56"/>
    </row>
    <row r="463" spans="1:7" x14ac:dyDescent="0.25">
      <c r="A463" s="27"/>
      <c r="C463" s="56"/>
      <c r="D463" s="31"/>
      <c r="F463" s="31"/>
      <c r="G463" s="56"/>
    </row>
    <row r="464" spans="1:7" x14ac:dyDescent="0.25">
      <c r="A464" s="27"/>
      <c r="C464" s="56"/>
      <c r="D464" s="31"/>
      <c r="F464" s="31"/>
      <c r="G464" s="56"/>
    </row>
    <row r="465" spans="1:7" x14ac:dyDescent="0.25">
      <c r="A465" s="27"/>
      <c r="C465" s="56"/>
      <c r="D465" s="31"/>
      <c r="F465" s="31"/>
      <c r="G465" s="56"/>
    </row>
    <row r="466" spans="1:7" x14ac:dyDescent="0.25">
      <c r="A466" s="27"/>
      <c r="C466" s="56"/>
      <c r="D466" s="31"/>
      <c r="F466" s="31"/>
      <c r="G466" s="56"/>
    </row>
    <row r="467" spans="1:7" x14ac:dyDescent="0.25">
      <c r="A467" s="27"/>
      <c r="C467" s="56"/>
      <c r="D467" s="31"/>
      <c r="F467" s="31"/>
      <c r="G467" s="56"/>
    </row>
    <row r="468" spans="1:7" x14ac:dyDescent="0.25">
      <c r="A468" s="27"/>
      <c r="C468" s="56"/>
      <c r="D468" s="31"/>
      <c r="F468" s="31"/>
      <c r="G468" s="56"/>
    </row>
    <row r="469" spans="1:7" x14ac:dyDescent="0.25">
      <c r="A469" s="27"/>
      <c r="C469" s="56"/>
      <c r="D469" s="31"/>
      <c r="F469" s="31"/>
      <c r="G469" s="56"/>
    </row>
    <row r="470" spans="1:7" x14ac:dyDescent="0.25">
      <c r="A470" s="27"/>
      <c r="C470" s="56"/>
      <c r="D470" s="31"/>
      <c r="F470" s="31"/>
      <c r="G470" s="56"/>
    </row>
    <row r="471" spans="1:7" x14ac:dyDescent="0.25">
      <c r="A471" s="27"/>
      <c r="C471" s="56"/>
      <c r="D471" s="31"/>
      <c r="F471" s="31"/>
      <c r="G471" s="56"/>
    </row>
    <row r="472" spans="1:7" x14ac:dyDescent="0.25">
      <c r="A472" s="27"/>
      <c r="C472" s="56"/>
      <c r="D472" s="31"/>
      <c r="F472" s="31"/>
      <c r="G472" s="56"/>
    </row>
    <row r="473" spans="1:7" x14ac:dyDescent="0.25">
      <c r="A473" s="27"/>
      <c r="C473" s="56"/>
      <c r="D473" s="31"/>
      <c r="F473" s="31"/>
      <c r="G473" s="56"/>
    </row>
    <row r="474" spans="1:7" x14ac:dyDescent="0.25">
      <c r="A474" s="27"/>
      <c r="C474" s="56"/>
      <c r="D474" s="31"/>
      <c r="F474" s="31"/>
      <c r="G474" s="56"/>
    </row>
    <row r="475" spans="1:7" x14ac:dyDescent="0.25">
      <c r="A475" s="27"/>
      <c r="C475" s="56"/>
      <c r="D475" s="31"/>
      <c r="F475" s="31"/>
      <c r="G475" s="56"/>
    </row>
    <row r="476" spans="1:7" x14ac:dyDescent="0.25">
      <c r="A476" s="27"/>
      <c r="C476" s="56"/>
      <c r="D476" s="31"/>
      <c r="F476" s="31"/>
      <c r="G476" s="56"/>
    </row>
    <row r="477" spans="1:7" x14ac:dyDescent="0.25">
      <c r="A477" s="27"/>
      <c r="C477" s="56"/>
      <c r="D477" s="31"/>
      <c r="F477" s="31"/>
      <c r="G477" s="56"/>
    </row>
    <row r="478" spans="1:7" x14ac:dyDescent="0.25">
      <c r="A478" s="27"/>
      <c r="C478" s="56"/>
      <c r="D478" s="31"/>
      <c r="F478" s="31"/>
      <c r="G478" s="56"/>
    </row>
    <row r="479" spans="1:7" x14ac:dyDescent="0.25">
      <c r="A479" s="27"/>
      <c r="C479" s="56"/>
      <c r="D479" s="31"/>
      <c r="F479" s="31"/>
      <c r="G479" s="56"/>
    </row>
    <row r="480" spans="1:7" x14ac:dyDescent="0.25">
      <c r="A480" s="27"/>
      <c r="C480" s="56"/>
      <c r="D480" s="31"/>
      <c r="F480" s="31"/>
      <c r="G480" s="56"/>
    </row>
    <row r="481" spans="1:7" x14ac:dyDescent="0.25">
      <c r="A481" s="27"/>
      <c r="C481" s="56"/>
      <c r="D481" s="31"/>
      <c r="F481" s="31"/>
      <c r="G481" s="56"/>
    </row>
    <row r="482" spans="1:7" x14ac:dyDescent="0.25">
      <c r="A482" s="27"/>
      <c r="C482" s="56"/>
      <c r="D482" s="31"/>
      <c r="F482" s="31"/>
      <c r="G482" s="56"/>
    </row>
    <row r="483" spans="1:7" x14ac:dyDescent="0.25">
      <c r="A483" s="27"/>
      <c r="C483" s="56"/>
      <c r="D483" s="30"/>
      <c r="F483" s="30"/>
      <c r="G483" s="56"/>
    </row>
    <row r="484" spans="1:7" x14ac:dyDescent="0.25">
      <c r="A484" s="27"/>
      <c r="C484" s="56"/>
      <c r="D484" s="30"/>
      <c r="F484" s="30"/>
      <c r="G484" s="56"/>
    </row>
    <row r="485" spans="1:7" x14ac:dyDescent="0.25">
      <c r="A485" s="27"/>
      <c r="C485" s="56"/>
      <c r="D485" s="30"/>
      <c r="F485" s="30"/>
      <c r="G485" s="56"/>
    </row>
    <row r="486" spans="1:7" x14ac:dyDescent="0.25">
      <c r="A486" s="27"/>
      <c r="C486" s="56"/>
      <c r="D486" s="30"/>
      <c r="F486" s="30"/>
      <c r="G486" s="56"/>
    </row>
    <row r="487" spans="1:7" x14ac:dyDescent="0.25">
      <c r="A487" s="27"/>
      <c r="C487" s="56"/>
      <c r="D487" s="31"/>
      <c r="F487" s="31"/>
      <c r="G487" s="56"/>
    </row>
    <row r="488" spans="1:7" x14ac:dyDescent="0.25">
      <c r="A488" s="27"/>
      <c r="C488" s="56"/>
      <c r="D488" s="30"/>
      <c r="F488" s="30"/>
      <c r="G488" s="56"/>
    </row>
    <row r="489" spans="1:7" x14ac:dyDescent="0.25">
      <c r="A489" s="27"/>
      <c r="C489" s="56"/>
      <c r="D489" s="30"/>
      <c r="F489" s="30"/>
      <c r="G489" s="56"/>
    </row>
    <row r="490" spans="1:7" x14ac:dyDescent="0.25">
      <c r="A490" s="27"/>
      <c r="C490" s="56"/>
      <c r="D490" s="30"/>
      <c r="F490" s="30"/>
      <c r="G490" s="56"/>
    </row>
    <row r="491" spans="1:7" x14ac:dyDescent="0.25">
      <c r="A491" s="27"/>
      <c r="C491" s="56"/>
      <c r="D491" s="30"/>
      <c r="F491" s="30"/>
      <c r="G491" s="56"/>
    </row>
    <row r="492" spans="1:7" x14ac:dyDescent="0.25">
      <c r="A492" s="27"/>
      <c r="C492" s="56"/>
      <c r="D492" s="31"/>
      <c r="F492" s="31"/>
      <c r="G492" s="56"/>
    </row>
    <row r="493" spans="1:7" x14ac:dyDescent="0.25">
      <c r="A493" s="27"/>
      <c r="C493" s="56"/>
      <c r="D493" s="31"/>
      <c r="F493" s="31"/>
      <c r="G493" s="56"/>
    </row>
    <row r="494" spans="1:7" x14ac:dyDescent="0.25">
      <c r="A494" s="27"/>
      <c r="C494" s="56"/>
      <c r="D494" s="30"/>
      <c r="F494" s="30"/>
      <c r="G494" s="56"/>
    </row>
    <row r="495" spans="1:7" x14ac:dyDescent="0.25">
      <c r="A495" s="27"/>
      <c r="C495" s="56"/>
      <c r="D495" s="30"/>
      <c r="F495" s="30"/>
      <c r="G495" s="56"/>
    </row>
    <row r="496" spans="1:7" x14ac:dyDescent="0.25">
      <c r="A496" s="27"/>
      <c r="C496" s="56"/>
      <c r="D496" s="30"/>
      <c r="F496" s="30"/>
      <c r="G496" s="56"/>
    </row>
    <row r="497" spans="1:7" x14ac:dyDescent="0.25">
      <c r="A497" s="27"/>
      <c r="C497" s="56"/>
      <c r="D497" s="30"/>
      <c r="F497" s="30"/>
      <c r="G497" s="56"/>
    </row>
    <row r="498" spans="1:7" x14ac:dyDescent="0.25">
      <c r="A498" s="27"/>
      <c r="C498" s="56"/>
      <c r="D498" s="30"/>
      <c r="F498" s="30"/>
      <c r="G498" s="56"/>
    </row>
    <row r="499" spans="1:7" x14ac:dyDescent="0.25">
      <c r="A499" s="27"/>
      <c r="C499" s="56"/>
      <c r="D499" s="30"/>
      <c r="F499" s="30"/>
      <c r="G499" s="56"/>
    </row>
    <row r="500" spans="1:7" x14ac:dyDescent="0.25">
      <c r="A500" s="27"/>
      <c r="C500" s="56"/>
      <c r="D500" s="30"/>
      <c r="F500" s="30"/>
      <c r="G500" s="56"/>
    </row>
    <row r="501" spans="1:7" x14ac:dyDescent="0.25">
      <c r="A501" s="27"/>
      <c r="C501" s="56"/>
      <c r="D501" s="30"/>
      <c r="F501" s="30"/>
      <c r="G501" s="56"/>
    </row>
    <row r="502" spans="1:7" x14ac:dyDescent="0.25">
      <c r="A502" s="27"/>
      <c r="C502" s="56"/>
      <c r="D502" s="30"/>
      <c r="F502" s="30"/>
      <c r="G502" s="56"/>
    </row>
    <row r="503" spans="1:7" x14ac:dyDescent="0.25">
      <c r="A503" s="27"/>
      <c r="C503" s="56"/>
      <c r="D503" s="31"/>
      <c r="F503" s="31"/>
      <c r="G503" s="56"/>
    </row>
    <row r="504" spans="1:7" x14ac:dyDescent="0.25">
      <c r="A504" s="27"/>
      <c r="C504" s="56"/>
      <c r="D504" s="30"/>
      <c r="F504" s="30"/>
      <c r="G504" s="56"/>
    </row>
    <row r="505" spans="1:7" x14ac:dyDescent="0.25">
      <c r="A505" s="27"/>
      <c r="C505" s="56"/>
      <c r="D505" s="30"/>
      <c r="F505" s="30"/>
      <c r="G505" s="56"/>
    </row>
    <row r="506" spans="1:7" x14ac:dyDescent="0.25">
      <c r="A506" s="27"/>
      <c r="C506" s="56"/>
      <c r="D506" s="30"/>
      <c r="F506" s="30"/>
      <c r="G506" s="56"/>
    </row>
    <row r="507" spans="1:7" x14ac:dyDescent="0.25">
      <c r="A507" s="27"/>
      <c r="C507" s="56"/>
      <c r="D507" s="30"/>
      <c r="F507" s="30"/>
      <c r="G507" s="56"/>
    </row>
    <row r="508" spans="1:7" x14ac:dyDescent="0.25">
      <c r="A508" s="27"/>
      <c r="C508" s="56"/>
      <c r="D508" s="30"/>
      <c r="F508" s="30"/>
      <c r="G508" s="56"/>
    </row>
    <row r="509" spans="1:7" x14ac:dyDescent="0.25">
      <c r="A509" s="27"/>
      <c r="C509" s="56"/>
      <c r="D509" s="30"/>
      <c r="F509" s="30"/>
      <c r="G509" s="56"/>
    </row>
    <row r="510" spans="1:7" x14ac:dyDescent="0.25">
      <c r="A510" s="27"/>
      <c r="C510" s="56"/>
      <c r="D510" s="30"/>
      <c r="F510" s="30"/>
      <c r="G510" s="56"/>
    </row>
    <row r="511" spans="1:7" x14ac:dyDescent="0.25">
      <c r="A511" s="27"/>
      <c r="C511" s="56"/>
      <c r="D511" s="31"/>
      <c r="F511" s="31"/>
      <c r="G511" s="56"/>
    </row>
    <row r="512" spans="1:7" x14ac:dyDescent="0.25">
      <c r="A512" s="27"/>
      <c r="C512" s="56"/>
      <c r="D512" s="30"/>
      <c r="F512" s="30"/>
      <c r="G512" s="56"/>
    </row>
    <row r="513" spans="1:7" x14ac:dyDescent="0.25">
      <c r="A513" s="27"/>
      <c r="C513" s="56"/>
      <c r="D513" s="31"/>
      <c r="F513" s="31"/>
      <c r="G513" s="56"/>
    </row>
    <row r="514" spans="1:7" x14ac:dyDescent="0.25">
      <c r="A514" s="27"/>
      <c r="C514" s="56"/>
      <c r="D514" s="31"/>
      <c r="F514" s="31"/>
      <c r="G514" s="56"/>
    </row>
    <row r="515" spans="1:7" x14ac:dyDescent="0.25">
      <c r="A515" s="27"/>
      <c r="C515" s="56"/>
      <c r="D515" s="31"/>
      <c r="F515" s="31"/>
      <c r="G515" s="56"/>
    </row>
    <row r="516" spans="1:7" x14ac:dyDescent="0.25">
      <c r="A516" s="27"/>
      <c r="C516" s="56"/>
      <c r="D516" s="30"/>
      <c r="F516" s="30"/>
      <c r="G516" s="56"/>
    </row>
    <row r="517" spans="1:7" x14ac:dyDescent="0.25">
      <c r="A517" s="29"/>
      <c r="C517" s="56"/>
      <c r="D517" s="31"/>
      <c r="F517" s="31"/>
      <c r="G517" s="56"/>
    </row>
    <row r="518" spans="1:7" x14ac:dyDescent="0.25">
      <c r="A518" s="29"/>
      <c r="C518" s="56"/>
      <c r="D518" s="31"/>
      <c r="F518" s="31"/>
      <c r="G518" s="56"/>
    </row>
    <row r="519" spans="1:7" x14ac:dyDescent="0.25">
      <c r="A519" s="29"/>
      <c r="C519" s="56"/>
      <c r="D519" s="30"/>
      <c r="F519" s="30"/>
      <c r="G519" s="56"/>
    </row>
    <row r="520" spans="1:7" x14ac:dyDescent="0.25">
      <c r="A520" s="29"/>
      <c r="C520" s="56"/>
      <c r="D520" s="31"/>
      <c r="F520" s="31"/>
      <c r="G520" s="56"/>
    </row>
    <row r="521" spans="1:7" x14ac:dyDescent="0.25">
      <c r="A521" s="29"/>
      <c r="C521" s="56"/>
      <c r="D521" s="30"/>
      <c r="F521" s="30"/>
      <c r="G521" s="56"/>
    </row>
    <row r="522" spans="1:7" x14ac:dyDescent="0.25">
      <c r="A522" s="29"/>
      <c r="C522" s="56"/>
      <c r="D522" s="31"/>
      <c r="F522" s="31"/>
      <c r="G522" s="56"/>
    </row>
    <row r="523" spans="1:7" x14ac:dyDescent="0.25">
      <c r="A523" s="29"/>
      <c r="C523" s="56"/>
      <c r="D523" s="30"/>
      <c r="F523" s="30"/>
      <c r="G523" s="56"/>
    </row>
    <row r="524" spans="1:7" x14ac:dyDescent="0.25">
      <c r="A524" s="29"/>
      <c r="C524" s="56"/>
      <c r="D524" s="31"/>
      <c r="F524" s="31"/>
      <c r="G524" s="56"/>
    </row>
    <row r="525" spans="1:7" x14ac:dyDescent="0.25">
      <c r="A525" s="29"/>
      <c r="C525" s="56"/>
      <c r="D525" s="30"/>
      <c r="F525" s="30"/>
      <c r="G525" s="56"/>
    </row>
    <row r="526" spans="1:7" x14ac:dyDescent="0.25">
      <c r="A526" s="29"/>
      <c r="C526" s="56"/>
      <c r="D526" s="31"/>
      <c r="F526" s="31"/>
      <c r="G526" s="56"/>
    </row>
    <row r="527" spans="1:7" x14ac:dyDescent="0.25">
      <c r="A527" s="29"/>
      <c r="C527" s="56"/>
      <c r="D527" s="30"/>
      <c r="F527" s="30"/>
      <c r="G527" s="56"/>
    </row>
    <row r="528" spans="1:7" x14ac:dyDescent="0.25">
      <c r="A528" s="29"/>
      <c r="C528" s="56"/>
      <c r="D528" s="31"/>
      <c r="F528" s="31"/>
      <c r="G528" s="56"/>
    </row>
    <row r="529" spans="1:7" x14ac:dyDescent="0.25">
      <c r="A529" s="29"/>
      <c r="C529" s="56"/>
      <c r="D529" s="30"/>
      <c r="F529" s="30"/>
      <c r="G529" s="56"/>
    </row>
    <row r="530" spans="1:7" x14ac:dyDescent="0.25">
      <c r="A530" s="29"/>
      <c r="C530" s="56"/>
      <c r="D530" s="31"/>
      <c r="F530" s="31"/>
      <c r="G530" s="56"/>
    </row>
    <row r="531" spans="1:7" x14ac:dyDescent="0.25">
      <c r="A531" s="29"/>
      <c r="C531" s="56"/>
      <c r="D531" s="30"/>
      <c r="F531" s="30"/>
      <c r="G531" s="56"/>
    </row>
    <row r="532" spans="1:7" x14ac:dyDescent="0.25">
      <c r="A532" s="29"/>
      <c r="C532" s="56"/>
      <c r="D532" s="31"/>
      <c r="F532" s="31"/>
      <c r="G532" s="56"/>
    </row>
    <row r="533" spans="1:7" x14ac:dyDescent="0.25">
      <c r="A533" s="29"/>
      <c r="C533" s="56"/>
      <c r="D533" s="30"/>
      <c r="F533" s="30"/>
      <c r="G533" s="56"/>
    </row>
    <row r="534" spans="1:7" x14ac:dyDescent="0.25">
      <c r="A534" s="29"/>
      <c r="C534" s="56"/>
      <c r="D534" s="31"/>
      <c r="F534" s="31"/>
      <c r="G534" s="56"/>
    </row>
    <row r="535" spans="1:7" x14ac:dyDescent="0.25">
      <c r="A535" s="29"/>
      <c r="C535" s="56"/>
      <c r="D535" s="31"/>
      <c r="F535" s="31"/>
      <c r="G535" s="56"/>
    </row>
    <row r="536" spans="1:7" x14ac:dyDescent="0.25">
      <c r="A536" s="29"/>
      <c r="C536" s="56"/>
      <c r="D536" s="30"/>
      <c r="F536" s="30"/>
      <c r="G536" s="56"/>
    </row>
    <row r="537" spans="1:7" x14ac:dyDescent="0.25">
      <c r="A537" s="29"/>
      <c r="C537" s="56"/>
      <c r="D537" s="30"/>
      <c r="F537" s="30"/>
      <c r="G537" s="56"/>
    </row>
    <row r="538" spans="1:7" x14ac:dyDescent="0.25">
      <c r="A538" s="29"/>
      <c r="C538" s="56"/>
      <c r="D538" s="30"/>
      <c r="F538" s="30"/>
      <c r="G538" s="56"/>
    </row>
    <row r="539" spans="1:7" x14ac:dyDescent="0.25">
      <c r="A539" s="29"/>
      <c r="C539" s="56"/>
      <c r="D539" s="31"/>
      <c r="F539" s="31"/>
      <c r="G539" s="56"/>
    </row>
    <row r="540" spans="1:7" x14ac:dyDescent="0.25">
      <c r="A540" s="29"/>
      <c r="C540" s="56"/>
      <c r="D540" s="30"/>
      <c r="F540" s="30"/>
      <c r="G540" s="56"/>
    </row>
    <row r="541" spans="1:7" x14ac:dyDescent="0.25">
      <c r="A541" s="29"/>
      <c r="C541" s="56"/>
      <c r="D541" s="30"/>
      <c r="F541" s="30"/>
      <c r="G541" s="56"/>
    </row>
    <row r="542" spans="1:7" x14ac:dyDescent="0.25">
      <c r="A542" s="29"/>
      <c r="C542" s="56"/>
      <c r="D542" s="31"/>
      <c r="F542" s="31"/>
      <c r="G542" s="56"/>
    </row>
    <row r="543" spans="1:7" x14ac:dyDescent="0.25">
      <c r="A543" s="29"/>
      <c r="C543" s="56"/>
      <c r="D543" s="30"/>
      <c r="F543" s="30"/>
      <c r="G543" s="56"/>
    </row>
    <row r="544" spans="1:7" x14ac:dyDescent="0.25">
      <c r="A544" s="29"/>
      <c r="C544" s="56"/>
      <c r="D544" s="30"/>
      <c r="F544" s="30"/>
      <c r="G544" s="56"/>
    </row>
    <row r="545" spans="1:7" x14ac:dyDescent="0.25">
      <c r="A545" s="29"/>
      <c r="C545" s="56"/>
      <c r="D545" s="30"/>
      <c r="F545" s="30"/>
      <c r="G545" s="56"/>
    </row>
    <row r="546" spans="1:7" x14ac:dyDescent="0.25">
      <c r="A546" s="29"/>
      <c r="C546" s="56"/>
      <c r="D546" s="31"/>
      <c r="F546" s="31"/>
      <c r="G546" s="56"/>
    </row>
    <row r="547" spans="1:7" x14ac:dyDescent="0.25">
      <c r="A547" s="29"/>
      <c r="C547" s="56"/>
      <c r="D547" s="30"/>
      <c r="F547" s="30"/>
      <c r="G547" s="56"/>
    </row>
    <row r="548" spans="1:7" x14ac:dyDescent="0.25">
      <c r="A548" s="29"/>
      <c r="C548" s="56"/>
      <c r="G548" s="56"/>
    </row>
    <row r="549" spans="1:7" x14ac:dyDescent="0.25">
      <c r="A549" s="29"/>
      <c r="C549" s="56"/>
      <c r="G549" s="56"/>
    </row>
    <row r="550" spans="1:7" x14ac:dyDescent="0.25">
      <c r="A550" s="29"/>
      <c r="C550" s="56"/>
      <c r="D550" s="32"/>
      <c r="F550" s="32"/>
      <c r="G550" s="56"/>
    </row>
    <row r="551" spans="1:7" x14ac:dyDescent="0.25">
      <c r="A551" s="29"/>
      <c r="C551" s="56"/>
      <c r="D551" s="32"/>
      <c r="F551" s="32"/>
      <c r="G551" s="56"/>
    </row>
    <row r="552" spans="1:7" x14ac:dyDescent="0.25">
      <c r="A552" s="29"/>
      <c r="C552" s="56"/>
      <c r="D552" s="32"/>
      <c r="F552" s="32"/>
      <c r="G552" s="56"/>
    </row>
    <row r="553" spans="1:7" x14ac:dyDescent="0.25">
      <c r="A553" s="29"/>
      <c r="C553" s="56"/>
      <c r="G553" s="56"/>
    </row>
  </sheetData>
  <mergeCells count="10">
    <mergeCell ref="A1:A2"/>
    <mergeCell ref="I1:I2"/>
    <mergeCell ref="B1:B2"/>
    <mergeCell ref="E1:E2"/>
    <mergeCell ref="J1:J2"/>
    <mergeCell ref="G1:G1048576"/>
    <mergeCell ref="C1:C1048576"/>
    <mergeCell ref="F1:F2"/>
    <mergeCell ref="D1:D2"/>
    <mergeCell ref="H1:H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</sheetPr>
  <dimension ref="A1"/>
  <sheetViews>
    <sheetView showGridLines="0" workbookViewId="0">
      <selection activeCell="O17" sqref="O17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Data Sheet</vt:lpstr>
      <vt:lpstr>Ref_Tab</vt:lpstr>
      <vt:lpstr>Balance 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Ayyappan, Subramanian (GE Power, Non-GE)</dc:creator>
  <cp:lastModifiedBy>Ayyappan, Subramanian (GE Power, Non-GE)</cp:lastModifiedBy>
  <dcterms:created xsi:type="dcterms:W3CDTF">2017-05-09T17:46:18Z</dcterms:created>
  <dcterms:modified xsi:type="dcterms:W3CDTF">2017-06-11T00:56:18Z</dcterms:modified>
</cp:coreProperties>
</file>